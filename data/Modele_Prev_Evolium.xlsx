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M:\TM_SynergyFlex_Nikola\SynergyFlex\data\"/>
    </mc:Choice>
  </mc:AlternateContent>
  <xr:revisionPtr revIDLastSave="0" documentId="13_ncr:1_{47C71F8F-4082-45EA-B615-2167DFFD0919}" xr6:coauthVersionLast="47" xr6:coauthVersionMax="47" xr10:uidLastSave="{00000000-0000-0000-0000-000000000000}"/>
  <bookViews>
    <workbookView xWindow="-110" yWindow="-110" windowWidth="38620" windowHeight="21100" xr2:uid="{029D60AA-AD19-47CC-B1A9-A14706732E36}"/>
  </bookViews>
  <sheets>
    <sheet name="Average GRD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9" l="1"/>
  <c r="F16" i="9"/>
  <c r="B8" i="9"/>
  <c r="B6" i="9"/>
  <c r="H21" i="9"/>
  <c r="F34" i="9"/>
  <c r="C40" i="9"/>
  <c r="C21" i="9"/>
  <c r="C16" i="9"/>
  <c r="B10" i="9"/>
  <c r="C41" i="9"/>
  <c r="C42" i="9"/>
  <c r="C43" i="9"/>
  <c r="C19" i="9" s="1"/>
  <c r="C44" i="9"/>
  <c r="C20" i="9" s="1"/>
  <c r="C45" i="9"/>
  <c r="C17" i="9"/>
  <c r="D60" i="9"/>
  <c r="D61" i="9"/>
  <c r="F61" i="9"/>
  <c r="D62" i="9"/>
  <c r="D63" i="9"/>
  <c r="D64" i="9"/>
  <c r="F64" i="9"/>
  <c r="G64" i="9"/>
  <c r="I64" i="9"/>
  <c r="F59" i="9"/>
  <c r="D59" i="9"/>
  <c r="L55" i="9"/>
  <c r="L64" i="9" s="1"/>
  <c r="L54" i="9"/>
  <c r="L63" i="9" s="1"/>
  <c r="L53" i="9"/>
  <c r="L62" i="9" s="1"/>
  <c r="L52" i="9"/>
  <c r="L61" i="9" s="1"/>
  <c r="L51" i="9"/>
  <c r="L60" i="9" s="1"/>
  <c r="L50" i="9"/>
  <c r="L59" i="9" s="1"/>
  <c r="K50" i="9"/>
  <c r="K59" i="9" s="1"/>
  <c r="K51" i="9"/>
  <c r="K60" i="9" s="1"/>
  <c r="K53" i="9"/>
  <c r="K62" i="9" s="1"/>
  <c r="K54" i="9"/>
  <c r="K63" i="9" s="1"/>
  <c r="K55" i="9"/>
  <c r="K64" i="9" s="1"/>
  <c r="C72" i="9" s="1"/>
  <c r="J50" i="9"/>
  <c r="J59" i="9" s="1"/>
  <c r="H50" i="9"/>
  <c r="H59" i="9" s="1"/>
  <c r="H51" i="9"/>
  <c r="H60" i="9" s="1"/>
  <c r="H52" i="9"/>
  <c r="H61" i="9" s="1"/>
  <c r="H53" i="9"/>
  <c r="H62" i="9" s="1"/>
  <c r="H54" i="9"/>
  <c r="H63" i="9" s="1"/>
  <c r="H55" i="9"/>
  <c r="H64" i="9" s="1"/>
  <c r="I55" i="9"/>
  <c r="I54" i="9"/>
  <c r="I63" i="9" s="1"/>
  <c r="I53" i="9"/>
  <c r="I62" i="9" s="1"/>
  <c r="C70" i="9" s="1"/>
  <c r="I51" i="9"/>
  <c r="I60" i="9" s="1"/>
  <c r="I50" i="9"/>
  <c r="I59" i="9" s="1"/>
  <c r="C67" i="9" s="1"/>
  <c r="F54" i="9"/>
  <c r="F63" i="9" s="1"/>
  <c r="C71" i="9" s="1"/>
  <c r="F53" i="9"/>
  <c r="F62" i="9" s="1"/>
  <c r="F52" i="9"/>
  <c r="F51" i="9"/>
  <c r="F60" i="9" s="1"/>
  <c r="J55" i="9"/>
  <c r="J64" i="9" s="1"/>
  <c r="J54" i="9"/>
  <c r="J63" i="9" s="1"/>
  <c r="J53" i="9"/>
  <c r="J62" i="9" s="1"/>
  <c r="J51" i="9"/>
  <c r="J60" i="9" s="1"/>
  <c r="G55" i="9"/>
  <c r="G54" i="9"/>
  <c r="G63" i="9" s="1"/>
  <c r="G53" i="9"/>
  <c r="G62" i="9" s="1"/>
  <c r="G52" i="9"/>
  <c r="C52" i="9" s="1"/>
  <c r="G51" i="9"/>
  <c r="G60" i="9" s="1"/>
  <c r="G50" i="9"/>
  <c r="G59" i="9" s="1"/>
  <c r="E55" i="9"/>
  <c r="E64" i="9" s="1"/>
  <c r="E54" i="9"/>
  <c r="E63" i="9" s="1"/>
  <c r="E53" i="9"/>
  <c r="E62" i="9" s="1"/>
  <c r="E52" i="9"/>
  <c r="E61" i="9" s="1"/>
  <c r="E51" i="9"/>
  <c r="E60" i="9" s="1"/>
  <c r="E50" i="9"/>
  <c r="E59" i="9" s="1"/>
  <c r="T31" i="9"/>
  <c r="T30" i="9"/>
  <c r="T29" i="9"/>
  <c r="T28" i="9"/>
  <c r="T27" i="9"/>
  <c r="T26" i="9"/>
  <c r="T25" i="9"/>
  <c r="T24" i="9"/>
  <c r="T23" i="9"/>
  <c r="T22" i="9"/>
  <c r="T21" i="9"/>
  <c r="T20" i="9"/>
  <c r="T19" i="9"/>
  <c r="T18" i="9"/>
  <c r="T17" i="9"/>
  <c r="T16" i="9"/>
  <c r="T15" i="9"/>
  <c r="C68" i="9" l="1"/>
  <c r="C50" i="9"/>
  <c r="G61" i="9"/>
  <c r="C69" i="9" s="1"/>
  <c r="C55" i="9"/>
  <c r="C54" i="9"/>
  <c r="C53" i="9"/>
  <c r="C51" i="9"/>
  <c r="C64" i="9"/>
  <c r="C62" i="9"/>
  <c r="C63" i="9"/>
  <c r="C60" i="9"/>
  <c r="C18" i="9"/>
  <c r="C59" i="9"/>
  <c r="D18" i="9"/>
  <c r="G23" i="9"/>
  <c r="G26" i="9"/>
  <c r="G18" i="9"/>
  <c r="G24" i="9"/>
  <c r="G17" i="9"/>
  <c r="G25" i="9"/>
  <c r="G19" i="9"/>
  <c r="G20" i="9"/>
  <c r="G27" i="9"/>
  <c r="G22" i="9"/>
  <c r="G31" i="9"/>
  <c r="G29" i="9"/>
  <c r="G32" i="9"/>
  <c r="G21" i="9"/>
  <c r="G35" i="9" s="1"/>
  <c r="G30" i="9"/>
  <c r="G28" i="9"/>
  <c r="C77" i="9" l="1"/>
  <c r="C61" i="9"/>
  <c r="O61" i="9" s="1"/>
  <c r="D17" i="9"/>
  <c r="E17" i="9" s="1"/>
  <c r="F17" i="9" s="1"/>
  <c r="D21" i="9"/>
  <c r="E21" i="9" s="1"/>
  <c r="F21" i="9" s="1"/>
  <c r="D20" i="9"/>
  <c r="E20" i="9" s="1"/>
  <c r="F20" i="9" s="1"/>
  <c r="O59" i="9"/>
  <c r="N59" i="9"/>
  <c r="O62" i="9"/>
  <c r="N62" i="9"/>
  <c r="N64" i="9"/>
  <c r="K21" i="9" s="1"/>
  <c r="O64" i="9"/>
  <c r="L21" i="9" s="1"/>
  <c r="N60" i="9"/>
  <c r="O60" i="9"/>
  <c r="D19" i="9"/>
  <c r="E19" i="9" s="1"/>
  <c r="F19" i="9" s="1"/>
  <c r="D16" i="9"/>
  <c r="E16" i="9" s="1"/>
  <c r="N63" i="9"/>
  <c r="O63" i="9"/>
  <c r="E18" i="9"/>
  <c r="F18" i="9" s="1"/>
  <c r="G34" i="9"/>
  <c r="N61" i="9" l="1"/>
  <c r="B35" i="9" a="1"/>
  <c r="B35" i="9" s="1"/>
  <c r="E23" i="9" s="1"/>
  <c r="F23" i="9" l="1"/>
  <c r="H23" i="9" s="1"/>
  <c r="L23" i="9"/>
  <c r="K23" i="9"/>
  <c r="E25" i="9"/>
  <c r="E22" i="9"/>
  <c r="E24" i="9"/>
  <c r="C23" i="9"/>
  <c r="F22" i="9" l="1"/>
  <c r="H22" i="9" s="1"/>
  <c r="K22" i="9"/>
  <c r="L22" i="9"/>
  <c r="C22" i="9"/>
  <c r="F24" i="9"/>
  <c r="H24" i="9" s="1"/>
  <c r="K24" i="9"/>
  <c r="L24" i="9"/>
  <c r="E26" i="9"/>
  <c r="K25" i="9"/>
  <c r="L25" i="9"/>
  <c r="C25" i="9"/>
  <c r="F25" i="9"/>
  <c r="H25" i="9" s="1"/>
  <c r="C24" i="9"/>
  <c r="E27" i="9" l="1"/>
  <c r="K26" i="9"/>
  <c r="L26" i="9"/>
  <c r="C26" i="9"/>
  <c r="F26" i="9"/>
  <c r="H26" i="9" s="1"/>
  <c r="L27" i="9" l="1"/>
  <c r="K27" i="9"/>
  <c r="E28" i="9"/>
  <c r="F27" i="9"/>
  <c r="H27" i="9" s="1"/>
  <c r="C27" i="9"/>
  <c r="L28" i="9" l="1"/>
  <c r="E29" i="9"/>
  <c r="C28" i="9"/>
  <c r="K28" i="9"/>
  <c r="F28" i="9"/>
  <c r="H28" i="9" s="1"/>
  <c r="L29" i="9" l="1"/>
  <c r="K29" i="9"/>
  <c r="E30" i="9"/>
  <c r="C29" i="9"/>
  <c r="F29" i="9"/>
  <c r="H29" i="9" s="1"/>
  <c r="K30" i="9" l="1"/>
  <c r="F30" i="9"/>
  <c r="H30" i="9" s="1"/>
  <c r="C30" i="9"/>
  <c r="L30" i="9"/>
  <c r="E31" i="9"/>
  <c r="K31" i="9" l="1"/>
  <c r="C31" i="9"/>
  <c r="E32" i="9"/>
  <c r="L31" i="9"/>
  <c r="F31" i="9"/>
  <c r="H31" i="9" s="1"/>
  <c r="L32" i="9" l="1"/>
  <c r="K32" i="9"/>
  <c r="F32" i="9"/>
  <c r="C32" i="9"/>
  <c r="H32" i="9" l="1"/>
  <c r="H34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<sst xmlns="http://schemas.openxmlformats.org/spreadsheetml/2006/main" count="65" uniqueCount="43">
  <si>
    <t>Years</t>
  </si>
  <si>
    <t>Difference</t>
  </si>
  <si>
    <t>Prix Export</t>
  </si>
  <si>
    <t>Cout 10 kwh</t>
  </si>
  <si>
    <t>Cout de batterie Evolium</t>
  </si>
  <si>
    <t>Buy in evolium</t>
  </si>
  <si>
    <t>Abo mensuel</t>
  </si>
  <si>
    <t>Regression linéaire Différence 2020-2025</t>
  </si>
  <si>
    <t>Prix import profil H4</t>
  </si>
  <si>
    <t>Average</t>
  </si>
  <si>
    <t>source</t>
  </si>
  <si>
    <t>https://www.vese.ch/fr/pvtarif/</t>
  </si>
  <si>
    <t>https://www.prix-electricite.elcom.admin.ch/?period=2025</t>
  </si>
  <si>
    <t>La Goule</t>
  </si>
  <si>
    <t>vide = outlier stat</t>
  </si>
  <si>
    <t>OIKEN</t>
  </si>
  <si>
    <t>Genedis</t>
  </si>
  <si>
    <t>Groupe E FR</t>
  </si>
  <si>
    <t>Groupe E NE</t>
  </si>
  <si>
    <t>BKW BE</t>
  </si>
  <si>
    <t>BKW JU</t>
  </si>
  <si>
    <t>SES TI</t>
  </si>
  <si>
    <t>Romande Energie</t>
  </si>
  <si>
    <t>EXPORT</t>
  </si>
  <si>
    <t>IMPORT H4</t>
  </si>
  <si>
    <t>DIFFERENCE</t>
  </si>
  <si>
    <t>Progression non  liméaire de la diff</t>
  </si>
  <si>
    <t>std-</t>
  </si>
  <si>
    <t>std dev</t>
  </si>
  <si>
    <t>std+</t>
  </si>
  <si>
    <t>Scenario spread</t>
  </si>
  <si>
    <t>Scenario +</t>
  </si>
  <si>
    <t>Scenario -</t>
  </si>
  <si>
    <t>Augmentation entre 2020 et 2025</t>
  </si>
  <si>
    <t>Abo annuel</t>
  </si>
  <si>
    <t>Nombre de jour de batterie</t>
  </si>
  <si>
    <t>Hypothèses</t>
  </si>
  <si>
    <t>en théorie infini mais il faut bien mettre un nombre….</t>
  </si>
  <si>
    <t>Commentaire pour Kurb</t>
  </si>
  <si>
    <t>Ici on sait que c'est un peu haut</t>
  </si>
  <si>
    <t>Amortissement Annuel</t>
  </si>
  <si>
    <t>Rabait payement annuel</t>
  </si>
  <si>
    <t>CAPEX evolium (durée de vie)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</si>
</sst>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CHF&quot;_-;\-* #,##0.00\ &quot;CHF&quot;_-;_-* &quot;-&quot;??\ &quot;CHF&quot;_-;_-@_-"/>
    <numFmt numFmtId="164" formatCode="_-* #,##0\ &quot;CHF&quot;_-;\-* #,##0\ &quot;CHF&quot;_-;_-* &quot;-&quot;??\ &quot;CHF&quot;_-;_-@_-"/>
    <numFmt numFmtId="165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595959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2" fontId="0" fillId="0" borderId="0" xfId="0" applyNumberFormat="1"/>
    <xf numFmtId="0" fontId="2" fillId="0" borderId="0" xfId="0" applyFont="1" applyAlignment="1">
      <alignment horizontal="center" vertical="center" readingOrder="1"/>
    </xf>
    <xf numFmtId="44" fontId="0" fillId="0" borderId="0" xfId="1" applyFont="1"/>
    <xf numFmtId="0" fontId="4" fillId="0" borderId="0" xfId="0" applyFont="1"/>
    <xf numFmtId="9" fontId="0" fillId="0" borderId="0" xfId="2" applyFont="1"/>
    <xf numFmtId="164" fontId="3" fillId="0" borderId="0" xfId="1" applyNumberFormat="1" applyFont="1"/>
    <xf numFmtId="165" fontId="0" fillId="0" borderId="0" xfId="0" applyNumberFormat="1"/>
    <xf numFmtId="165" fontId="4" fillId="0" borderId="0" xfId="0" applyNumberFormat="1" applyFont="1"/>
    <xf numFmtId="0" fontId="6" fillId="0" borderId="0" xfId="5"/>
    <xf numFmtId="44" fontId="0" fillId="0" borderId="0" xfId="0" applyNumberFormat="1"/>
    <xf numFmtId="0" fontId="5" fillId="0" borderId="0" xfId="0" applyFont="1" applyAlignment="1">
      <alignment horizontal="center"/>
    </xf>
    <xf numFmtId="2" fontId="0" fillId="0" borderId="0" xfId="0" applyNumberFormat="1" applyAlignment="1">
      <alignment horizontal="center" wrapText="1"/>
    </xf>
  </cellXfs>
  <cellStyles count="6">
    <cellStyle name="Lien hypertexte" xfId="5" builtinId="8"/>
    <cellStyle name="Monétaire" xfId="1" builtinId="4"/>
    <cellStyle name="Monétaire 2" xfId="3" xr:uid="{E1B546B1-C7DF-4E9D-AD28-2B82D5D858D0}"/>
    <cellStyle name="Monétaire 3" xfId="4" xr:uid="{F15C3635-3922-4EA1-AA20-9F165C15AD74}"/>
    <cellStyle name="Normal" xfId="0" builtinId="0"/>
    <cellStyle name="Pourcentage" xfId="2" builtinId="5"/>
  </cellStyles>
  <dxfs count="2">
    <dxf>
      <fill>
        <patternFill>
          <bgColor rgb="FFFF0000"/>
        </patternFill>
      </fill>
    </dxf>
    <dxf>
      <fill>
        <patternFill>
          <bgColor theme="2" tint="0.59996337778862885"/>
        </patternFill>
      </fill>
    </dxf>
  </dxfs>
  <tableStyles count="0" defaultTableStyle="TableStyleMedium2" defaultPivotStyle="PivotStyleLight16"/>
  <colors>
    <mruColors>
      <color rgb="FF292929"/>
      <color rgb="FF9966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Import Export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Average + Prediction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 GRD'!$B$16:$B$32</c:f>
              <c:numCache>
                <c:formatCode>General</c:formatCode>
                <c:ptCount val="1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</c:numCache>
            </c:numRef>
          </c:xVal>
          <c:yVal>
            <c:numRef>
              <c:f>'Average GRD'!$E$16:$E$32</c:f>
              <c:numCache>
                <c:formatCode>0.0</c:formatCode>
                <c:ptCount val="17"/>
                <c:pt idx="0">
                  <c:v>14.440000000000001</c:v>
                </c:pt>
                <c:pt idx="1">
                  <c:v>12.391111111111115</c:v>
                </c:pt>
                <c:pt idx="2">
                  <c:v>12.639999999999999</c:v>
                </c:pt>
                <c:pt idx="3">
                  <c:v>14.516666666666667</c:v>
                </c:pt>
                <c:pt idx="4">
                  <c:v>19.392222222222216</c:v>
                </c:pt>
                <c:pt idx="5">
                  <c:v>18.827777777777779</c:v>
                </c:pt>
                <c:pt idx="6" formatCode="0.00">
                  <c:v>19.849851851851327</c:v>
                </c:pt>
                <c:pt idx="7" formatCode="0.00">
                  <c:v>21.130391534391038</c:v>
                </c:pt>
                <c:pt idx="8" formatCode="0.00">
                  <c:v>22.410931216930749</c:v>
                </c:pt>
                <c:pt idx="9" formatCode="0.00">
                  <c:v>23.69147089947046</c:v>
                </c:pt>
                <c:pt idx="10" formatCode="0.00">
                  <c:v>25.091470899470458</c:v>
                </c:pt>
                <c:pt idx="11" formatCode="0.00">
                  <c:v>26.291470899470458</c:v>
                </c:pt>
                <c:pt idx="12" formatCode="0.00">
                  <c:v>27.391470899470459</c:v>
                </c:pt>
                <c:pt idx="13" formatCode="0.00">
                  <c:v>28.291470899470458</c:v>
                </c:pt>
                <c:pt idx="14" formatCode="0.00">
                  <c:v>29.091470899470458</c:v>
                </c:pt>
                <c:pt idx="15" formatCode="0.00">
                  <c:v>29.561470899470457</c:v>
                </c:pt>
                <c:pt idx="16" formatCode="0.00">
                  <c:v>29.911470899470459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87-46D1-BB4B-7E42EF901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995776"/>
        <c:axId val="877001056"/>
      </c:scatterChart>
      <c:scatterChart>
        <c:scatterStyle val="smoothMarker"/>
        <c:varyColors val="0"/>
        <c:ser>
          <c:idx val="1"/>
          <c:order val="1"/>
          <c:tx>
            <c:v>STDev +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'Average GRD'!$B$59:$B$64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GRD'!$N$59:$N$64</c:f>
              <c:numCache>
                <c:formatCode>0.00</c:formatCode>
                <c:ptCount val="6"/>
                <c:pt idx="0">
                  <c:v>15.941805163794559</c:v>
                </c:pt>
                <c:pt idx="1">
                  <c:v>13.162086323279297</c:v>
                </c:pt>
                <c:pt idx="2">
                  <c:v>13.392502491690227</c:v>
                </c:pt>
                <c:pt idx="3">
                  <c:v>15.587294403090493</c:v>
                </c:pt>
                <c:pt idx="4">
                  <c:v>21.326737306451637</c:v>
                </c:pt>
                <c:pt idx="5">
                  <c:v>20.019868320107143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87-46D1-BB4B-7E42EF901502}"/>
            </c:ext>
          </c:extLst>
        </c:ser>
        <c:ser>
          <c:idx val="2"/>
          <c:order val="2"/>
          <c:tx>
            <c:v>STDev -</c:v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xVal>
            <c:numRef>
              <c:f>'Average GRD'!$B$59:$B$64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GRD'!$O$59:$O$64</c:f>
              <c:numCache>
                <c:formatCode>0.00</c:formatCode>
                <c:ptCount val="6"/>
                <c:pt idx="0">
                  <c:v>12.938194836205444</c:v>
                </c:pt>
                <c:pt idx="1">
                  <c:v>11.620135898942923</c:v>
                </c:pt>
                <c:pt idx="2">
                  <c:v>11.887497508309774</c:v>
                </c:pt>
                <c:pt idx="3">
                  <c:v>13.446038930242842</c:v>
                </c:pt>
                <c:pt idx="4">
                  <c:v>17.457707137992802</c:v>
                </c:pt>
                <c:pt idx="5">
                  <c:v>17.635687235448408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787-46D1-BB4B-7E42EF901502}"/>
            </c:ext>
          </c:extLst>
        </c:ser>
        <c:ser>
          <c:idx val="3"/>
          <c:order val="3"/>
          <c:tx>
            <c:strRef>
              <c:f>'Average GRD'!$K$20</c:f>
              <c:strCache>
                <c:ptCount val="1"/>
                <c:pt idx="0">
                  <c:v>Scenario +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'Average GRD'!$B$21:$B$32</c:f>
              <c:numCache>
                <c:formatCode>General</c:formatCode>
                <c:ptCount val="12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</c:numCache>
            </c:numRef>
          </c:xVal>
          <c:yVal>
            <c:numRef>
              <c:f>'Average GRD'!$K$21:$K$32</c:f>
              <c:numCache>
                <c:formatCode>0.0</c:formatCode>
                <c:ptCount val="12"/>
                <c:pt idx="0">
                  <c:v>20.019868320107143</c:v>
                </c:pt>
                <c:pt idx="1">
                  <c:v>20.849851851851327</c:v>
                </c:pt>
                <c:pt idx="2">
                  <c:v>22.330391534391037</c:v>
                </c:pt>
                <c:pt idx="3">
                  <c:v>24.210931216930749</c:v>
                </c:pt>
                <c:pt idx="4">
                  <c:v>26.091470899470458</c:v>
                </c:pt>
                <c:pt idx="5">
                  <c:v>28.091470899470458</c:v>
                </c:pt>
                <c:pt idx="6">
                  <c:v>29.891470899470459</c:v>
                </c:pt>
                <c:pt idx="7">
                  <c:v>31.591470899470458</c:v>
                </c:pt>
                <c:pt idx="8">
                  <c:v>33.091470899470458</c:v>
                </c:pt>
                <c:pt idx="9">
                  <c:v>34.491470899470457</c:v>
                </c:pt>
                <c:pt idx="10">
                  <c:v>35.561470899470457</c:v>
                </c:pt>
                <c:pt idx="11">
                  <c:v>36.411470899470459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787-46D1-BB4B-7E42EF901502}"/>
            </c:ext>
          </c:extLst>
        </c:ser>
        <c:ser>
          <c:idx val="4"/>
          <c:order val="4"/>
          <c:tx>
            <c:strRef>
              <c:f>'Average GRD'!$L$20</c:f>
              <c:strCache>
                <c:ptCount val="1"/>
                <c:pt idx="0">
                  <c:v>Scenario -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'Average GRD'!$B$21:$B$32</c:f>
              <c:numCache>
                <c:formatCode>General</c:formatCode>
                <c:ptCount val="12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</c:numCache>
            </c:numRef>
          </c:xVal>
          <c:yVal>
            <c:numRef>
              <c:f>'Average GRD'!$L$21:$L$32</c:f>
              <c:numCache>
                <c:formatCode>0.0</c:formatCode>
                <c:ptCount val="12"/>
                <c:pt idx="0">
                  <c:v>17.635687235448408</c:v>
                </c:pt>
                <c:pt idx="1">
                  <c:v>18.849851851851327</c:v>
                </c:pt>
                <c:pt idx="2">
                  <c:v>19.930391534391038</c:v>
                </c:pt>
                <c:pt idx="3">
                  <c:v>20.610931216930748</c:v>
                </c:pt>
                <c:pt idx="4">
                  <c:v>21.291470899470461</c:v>
                </c:pt>
                <c:pt idx="5">
                  <c:v>22.091470899470458</c:v>
                </c:pt>
                <c:pt idx="6">
                  <c:v>22.691470899470456</c:v>
                </c:pt>
                <c:pt idx="7">
                  <c:v>23.19147089947046</c:v>
                </c:pt>
                <c:pt idx="8">
                  <c:v>23.491470899470457</c:v>
                </c:pt>
                <c:pt idx="9">
                  <c:v>23.69147089947046</c:v>
                </c:pt>
                <c:pt idx="10">
                  <c:v>23.561470899470457</c:v>
                </c:pt>
                <c:pt idx="11">
                  <c:v>23.411470899470459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787-46D1-BB4B-7E42EF901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995776"/>
        <c:axId val="877001056"/>
      </c:scatterChart>
      <c:valAx>
        <c:axId val="876995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7001056"/>
        <c:crosses val="autoZero"/>
        <c:crossBetween val="midCat"/>
      </c:valAx>
      <c:valAx>
        <c:axId val="87700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6995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Import H4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'Average GRD'!$D$39</c:f>
              <c:strCache>
                <c:ptCount val="1"/>
                <c:pt idx="0">
                  <c:v>OIKEN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 GRD'!$B$40:$B$45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GRD'!$D$40:$D$45</c:f>
              <c:numCache>
                <c:formatCode>0.00</c:formatCode>
                <c:ptCount val="6"/>
                <c:pt idx="0">
                  <c:v>18.190000000000001</c:v>
                </c:pt>
                <c:pt idx="1">
                  <c:v>17.95</c:v>
                </c:pt>
                <c:pt idx="2">
                  <c:v>19.89</c:v>
                </c:pt>
                <c:pt idx="3">
                  <c:v>30.8</c:v>
                </c:pt>
                <c:pt idx="4">
                  <c:v>34.61</c:v>
                </c:pt>
                <c:pt idx="5">
                  <c:v>28.53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95-47F9-9FEF-1AA30341B170}"/>
            </c:ext>
          </c:extLst>
        </c:ser>
        <c:ser>
          <c:idx val="1"/>
          <c:order val="1"/>
          <c:tx>
            <c:strRef>
              <c:f>'Average GRD'!$E$39</c:f>
              <c:strCache>
                <c:ptCount val="1"/>
                <c:pt idx="0">
                  <c:v>Romande Energie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'Average GRD'!$B$40:$B$45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GRD'!$E$40:$E$45</c:f>
              <c:numCache>
                <c:formatCode>0.00</c:formatCode>
                <c:ptCount val="6"/>
                <c:pt idx="0">
                  <c:v>20.88</c:v>
                </c:pt>
                <c:pt idx="1">
                  <c:v>21.03</c:v>
                </c:pt>
                <c:pt idx="2">
                  <c:v>21.21</c:v>
                </c:pt>
                <c:pt idx="3">
                  <c:v>32.26</c:v>
                </c:pt>
                <c:pt idx="4">
                  <c:v>32.549999999999997</c:v>
                </c:pt>
                <c:pt idx="5">
                  <c:v>30.36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95-47F9-9FEF-1AA30341B170}"/>
            </c:ext>
          </c:extLst>
        </c:ser>
        <c:ser>
          <c:idx val="2"/>
          <c:order val="2"/>
          <c:tx>
            <c:strRef>
              <c:f>'Average GRD'!$F$39</c:f>
              <c:strCache>
                <c:ptCount val="1"/>
                <c:pt idx="0">
                  <c:v>Genedis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'Average GRD'!$B$40:$B$45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GRD'!$F$40:$F$45</c:f>
              <c:numCache>
                <c:formatCode>0.00</c:formatCode>
                <c:ptCount val="6"/>
                <c:pt idx="0">
                  <c:v>20.48</c:v>
                </c:pt>
                <c:pt idx="1">
                  <c:v>20.18</c:v>
                </c:pt>
                <c:pt idx="2">
                  <c:v>20.85</c:v>
                </c:pt>
                <c:pt idx="3">
                  <c:v>27.45</c:v>
                </c:pt>
                <c:pt idx="4">
                  <c:v>28.44</c:v>
                </c:pt>
                <c:pt idx="5">
                  <c:v>26.64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95-47F9-9FEF-1AA30341B170}"/>
            </c:ext>
          </c:extLst>
        </c:ser>
        <c:ser>
          <c:idx val="3"/>
          <c:order val="3"/>
          <c:tx>
            <c:strRef>
              <c:f>'Average GRD'!$G$39</c:f>
              <c:strCache>
                <c:ptCount val="1"/>
                <c:pt idx="0">
                  <c:v>Groupe E FR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'Average GRD'!$B$40:$B$45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GRD'!$G$40:$G$45</c:f>
              <c:numCache>
                <c:formatCode>0.00</c:formatCode>
                <c:ptCount val="6"/>
                <c:pt idx="0">
                  <c:v>21.16</c:v>
                </c:pt>
                <c:pt idx="1">
                  <c:v>21.16</c:v>
                </c:pt>
                <c:pt idx="2">
                  <c:v>21.16</c:v>
                </c:pt>
                <c:pt idx="3">
                  <c:v>25.35</c:v>
                </c:pt>
                <c:pt idx="4">
                  <c:v>32.4</c:v>
                </c:pt>
                <c:pt idx="5">
                  <c:v>28.9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95-47F9-9FEF-1AA30341B170}"/>
            </c:ext>
          </c:extLst>
        </c:ser>
        <c:ser>
          <c:idx val="4"/>
          <c:order val="4"/>
          <c:tx>
            <c:strRef>
              <c:f>'Average GRD'!$H$39</c:f>
              <c:strCache>
                <c:ptCount val="1"/>
                <c:pt idx="0">
                  <c:v>Groupe E 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>
                    <a:lumMod val="75000"/>
                  </a:schemeClr>
                </a:solidFill>
              </a:ln>
              <a:effectLst/>
            </c:spPr>
          </c:marker>
          <c:xVal>
            <c:numRef>
              <c:f>'Average GRD'!$B$40:$B$45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GRD'!$H$40:$H$45</c:f>
              <c:numCache>
                <c:formatCode>0.00</c:formatCode>
                <c:ptCount val="6"/>
                <c:pt idx="0">
                  <c:v>22.76</c:v>
                </c:pt>
                <c:pt idx="1">
                  <c:v>22.76</c:v>
                </c:pt>
                <c:pt idx="2">
                  <c:v>22.76</c:v>
                </c:pt>
                <c:pt idx="3">
                  <c:v>26.95</c:v>
                </c:pt>
                <c:pt idx="4">
                  <c:v>34</c:v>
                </c:pt>
                <c:pt idx="5">
                  <c:v>30.5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95-47F9-9FEF-1AA30341B170}"/>
            </c:ext>
          </c:extLst>
        </c:ser>
        <c:ser>
          <c:idx val="5"/>
          <c:order val="5"/>
          <c:tx>
            <c:strRef>
              <c:f>'Average GRD'!$I$39</c:f>
              <c:strCache>
                <c:ptCount val="1"/>
                <c:pt idx="0">
                  <c:v>La Goule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'Average GRD'!$B$40:$B$45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GRD'!$I$40:$I$45</c:f>
              <c:numCache>
                <c:formatCode>0.00</c:formatCode>
                <c:ptCount val="6"/>
                <c:pt idx="0">
                  <c:v>25.77</c:v>
                </c:pt>
                <c:pt idx="1">
                  <c:v>25.53</c:v>
                </c:pt>
                <c:pt idx="3">
                  <c:v>25.93</c:v>
                </c:pt>
                <c:pt idx="4">
                  <c:v>31.45</c:v>
                </c:pt>
                <c:pt idx="5">
                  <c:v>30.98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995-47F9-9FEF-1AA30341B170}"/>
            </c:ext>
          </c:extLst>
        </c:ser>
        <c:ser>
          <c:idx val="6"/>
          <c:order val="6"/>
          <c:tx>
            <c:strRef>
              <c:f>'Average GRD'!$C$39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'Average GRD'!$B$40:$B$45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GRD'!$C$40:$C$45</c:f>
              <c:numCache>
                <c:formatCode>0.00</c:formatCode>
                <c:ptCount val="6"/>
                <c:pt idx="0">
                  <c:v>22.942222222222224</c:v>
                </c:pt>
                <c:pt idx="1">
                  <c:v>22.87444444444445</c:v>
                </c:pt>
                <c:pt idx="2">
                  <c:v>21.765000000000001</c:v>
                </c:pt>
                <c:pt idx="3">
                  <c:v>27.664444444444445</c:v>
                </c:pt>
                <c:pt idx="4">
                  <c:v>32.099999999999994</c:v>
                </c:pt>
                <c:pt idx="5">
                  <c:v>29.727777777777778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995-47F9-9FEF-1AA30341B170}"/>
            </c:ext>
          </c:extLst>
        </c:ser>
        <c:ser>
          <c:idx val="7"/>
          <c:order val="7"/>
          <c:tx>
            <c:strRef>
              <c:f>'Average GRD'!$J$39</c:f>
              <c:strCache>
                <c:ptCount val="1"/>
                <c:pt idx="0">
                  <c:v>BKW BE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'Average GRD'!$B$40:$B$45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GRD'!$K$40:$K$45</c:f>
              <c:numCache>
                <c:formatCode>0.00</c:formatCode>
                <c:ptCount val="6"/>
                <c:pt idx="0">
                  <c:v>26.24</c:v>
                </c:pt>
                <c:pt idx="1">
                  <c:v>26.24</c:v>
                </c:pt>
                <c:pt idx="3">
                  <c:v>25.5</c:v>
                </c:pt>
                <c:pt idx="4">
                  <c:v>30.27</c:v>
                </c:pt>
                <c:pt idx="5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995-47F9-9FEF-1AA30341B170}"/>
            </c:ext>
          </c:extLst>
        </c:ser>
        <c:ser>
          <c:idx val="8"/>
          <c:order val="8"/>
          <c:tx>
            <c:strRef>
              <c:f>'Average GRD'!$K$39</c:f>
              <c:strCache>
                <c:ptCount val="1"/>
                <c:pt idx="0">
                  <c:v>BKW JU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'Average GRD'!$B$40:$B$45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GRD'!$K$40:$K$45</c:f>
              <c:numCache>
                <c:formatCode>0.00</c:formatCode>
                <c:ptCount val="6"/>
                <c:pt idx="0">
                  <c:v>26.24</c:v>
                </c:pt>
                <c:pt idx="1">
                  <c:v>26.24</c:v>
                </c:pt>
                <c:pt idx="3">
                  <c:v>25.5</c:v>
                </c:pt>
                <c:pt idx="4">
                  <c:v>30.27</c:v>
                </c:pt>
                <c:pt idx="5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995-47F9-9FEF-1AA30341B170}"/>
            </c:ext>
          </c:extLst>
        </c:ser>
        <c:ser>
          <c:idx val="9"/>
          <c:order val="9"/>
          <c:tx>
            <c:strRef>
              <c:f>'Average GRD'!$L$39</c:f>
              <c:strCache>
                <c:ptCount val="1"/>
                <c:pt idx="0">
                  <c:v>SES TI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'Average GRD'!$B$40:$B$45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GRD'!$L$40:$L$45</c:f>
              <c:numCache>
                <c:formatCode>0.00</c:formatCode>
                <c:ptCount val="6"/>
                <c:pt idx="0">
                  <c:v>24.76</c:v>
                </c:pt>
                <c:pt idx="1">
                  <c:v>24.78</c:v>
                </c:pt>
                <c:pt idx="2">
                  <c:v>24.72</c:v>
                </c:pt>
                <c:pt idx="3">
                  <c:v>29.24</c:v>
                </c:pt>
                <c:pt idx="4">
                  <c:v>34.909999999999997</c:v>
                </c:pt>
                <c:pt idx="5">
                  <c:v>34.04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995-47F9-9FEF-1AA30341B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176592"/>
        <c:axId val="995170352"/>
      </c:scatterChart>
      <c:valAx>
        <c:axId val="99517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5170352"/>
        <c:crosses val="autoZero"/>
        <c:crossBetween val="midCat"/>
      </c:valAx>
      <c:valAx>
        <c:axId val="99517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517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Export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'Average GRD'!$D$49</c:f>
              <c:strCache>
                <c:ptCount val="1"/>
                <c:pt idx="0">
                  <c:v>OIKEN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 GRD'!$B$50:$B$55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GRD'!$D$50:$D$55</c:f>
              <c:numCache>
                <c:formatCode>0.00</c:formatCode>
                <c:ptCount val="6"/>
                <c:pt idx="0">
                  <c:v>8.1999999999999993</c:v>
                </c:pt>
                <c:pt idx="1">
                  <c:v>7.3</c:v>
                </c:pt>
                <c:pt idx="2">
                  <c:v>8.3000000000000007</c:v>
                </c:pt>
                <c:pt idx="3">
                  <c:v>16.45</c:v>
                </c:pt>
                <c:pt idx="4">
                  <c:v>18.2</c:v>
                </c:pt>
                <c:pt idx="5">
                  <c:v>11.2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B0-4F06-99FD-5190BB4A63B2}"/>
            </c:ext>
          </c:extLst>
        </c:ser>
        <c:ser>
          <c:idx val="1"/>
          <c:order val="1"/>
          <c:tx>
            <c:strRef>
              <c:f>'Average GRD'!$E$49</c:f>
              <c:strCache>
                <c:ptCount val="1"/>
                <c:pt idx="0">
                  <c:v>Romande Energie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'Average GRD'!$B$50:$B$55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GRD'!$E$50:$E$55</c:f>
              <c:numCache>
                <c:formatCode>0.00</c:formatCode>
                <c:ptCount val="6"/>
                <c:pt idx="0">
                  <c:v>8.16</c:v>
                </c:pt>
                <c:pt idx="1">
                  <c:v>8.16</c:v>
                </c:pt>
                <c:pt idx="2">
                  <c:v>9.5</c:v>
                </c:pt>
                <c:pt idx="3">
                  <c:v>18.600000000000001</c:v>
                </c:pt>
                <c:pt idx="4">
                  <c:v>17.600000000000001</c:v>
                </c:pt>
                <c:pt idx="5">
                  <c:v>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B0-4F06-99FD-5190BB4A63B2}"/>
            </c:ext>
          </c:extLst>
        </c:ser>
        <c:ser>
          <c:idx val="2"/>
          <c:order val="2"/>
          <c:tx>
            <c:strRef>
              <c:f>'Average GRD'!$F$49</c:f>
              <c:strCache>
                <c:ptCount val="1"/>
                <c:pt idx="0">
                  <c:v>Genedis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'Average GRD'!$B$50:$B$55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GRD'!$F$50:$F$55</c:f>
              <c:numCache>
                <c:formatCode>0.00</c:formatCode>
                <c:ptCount val="6"/>
                <c:pt idx="0">
                  <c:v>7.7</c:v>
                </c:pt>
                <c:pt idx="1">
                  <c:v>9.1999999999999993</c:v>
                </c:pt>
                <c:pt idx="2">
                  <c:v>9</c:v>
                </c:pt>
                <c:pt idx="3">
                  <c:v>14.3</c:v>
                </c:pt>
                <c:pt idx="4">
                  <c:v>14.3</c:v>
                </c:pt>
                <c:pt idx="5">
                  <c:v>12.6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B0-4F06-99FD-5190BB4A63B2}"/>
            </c:ext>
          </c:extLst>
        </c:ser>
        <c:ser>
          <c:idx val="3"/>
          <c:order val="3"/>
          <c:tx>
            <c:strRef>
              <c:f>'Average GRD'!$G$49</c:f>
              <c:strCache>
                <c:ptCount val="1"/>
                <c:pt idx="0">
                  <c:v>Groupe E FR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'Average GRD'!$B$50:$B$55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GRD'!$G$50:$G$55</c:f>
              <c:numCache>
                <c:formatCode>0.00</c:formatCode>
                <c:ptCount val="6"/>
                <c:pt idx="0">
                  <c:v>9.3000000000000007</c:v>
                </c:pt>
                <c:pt idx="1">
                  <c:v>9.3000000000000007</c:v>
                </c:pt>
                <c:pt idx="2">
                  <c:v>9.3000000000000007</c:v>
                </c:pt>
                <c:pt idx="3">
                  <c:v>14.45</c:v>
                </c:pt>
                <c:pt idx="4">
                  <c:v>14.45</c:v>
                </c:pt>
                <c:pt idx="5">
                  <c:v>10.91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B0-4F06-99FD-5190BB4A63B2}"/>
            </c:ext>
          </c:extLst>
        </c:ser>
        <c:ser>
          <c:idx val="4"/>
          <c:order val="4"/>
          <c:tx>
            <c:strRef>
              <c:f>'Average GRD'!$H$49</c:f>
              <c:strCache>
                <c:ptCount val="1"/>
                <c:pt idx="0">
                  <c:v>Groupe E 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>
                    <a:lumMod val="75000"/>
                  </a:schemeClr>
                </a:solidFill>
              </a:ln>
              <a:effectLst/>
            </c:spPr>
          </c:marker>
          <c:xVal>
            <c:numRef>
              <c:f>'Average GRD'!$B$50:$B$55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GRD'!$H$50:$H$55</c:f>
              <c:numCache>
                <c:formatCode>0.00</c:formatCode>
                <c:ptCount val="6"/>
                <c:pt idx="0">
                  <c:v>9.3000000000000007</c:v>
                </c:pt>
                <c:pt idx="1">
                  <c:v>9.3000000000000007</c:v>
                </c:pt>
                <c:pt idx="2">
                  <c:v>9.3000000000000007</c:v>
                </c:pt>
                <c:pt idx="3">
                  <c:v>14.45</c:v>
                </c:pt>
                <c:pt idx="4">
                  <c:v>14.45</c:v>
                </c:pt>
                <c:pt idx="5">
                  <c:v>10.91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B0-4F06-99FD-5190BB4A63B2}"/>
            </c:ext>
          </c:extLst>
        </c:ser>
        <c:ser>
          <c:idx val="5"/>
          <c:order val="5"/>
          <c:tx>
            <c:strRef>
              <c:f>'Average GRD'!$I$49</c:f>
              <c:strCache>
                <c:ptCount val="1"/>
                <c:pt idx="0">
                  <c:v>La Goule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'Average GRD'!$B$50:$B$55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GRD'!$I$50:$I$55</c:f>
              <c:numCache>
                <c:formatCode>0.00</c:formatCode>
                <c:ptCount val="6"/>
                <c:pt idx="0">
                  <c:v>9.5</c:v>
                </c:pt>
                <c:pt idx="1">
                  <c:v>14.03</c:v>
                </c:pt>
                <c:pt idx="3">
                  <c:v>9.36</c:v>
                </c:pt>
                <c:pt idx="4">
                  <c:v>6.79</c:v>
                </c:pt>
                <c:pt idx="5">
                  <c:v>10.41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B0-4F06-99FD-5190BB4A63B2}"/>
            </c:ext>
          </c:extLst>
        </c:ser>
        <c:ser>
          <c:idx val="6"/>
          <c:order val="6"/>
          <c:tx>
            <c:strRef>
              <c:f>'Average GRD'!$C$49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'Average GRD'!$B$50:$B$55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GRD'!$C$50:$C$55</c:f>
              <c:numCache>
                <c:formatCode>0.00</c:formatCode>
                <c:ptCount val="6"/>
                <c:pt idx="0">
                  <c:v>8.5022222222222226</c:v>
                </c:pt>
                <c:pt idx="1">
                  <c:v>10.483333333333334</c:v>
                </c:pt>
                <c:pt idx="2">
                  <c:v>9.1250000000000018</c:v>
                </c:pt>
                <c:pt idx="3">
                  <c:v>13.147777777777778</c:v>
                </c:pt>
                <c:pt idx="4">
                  <c:v>12.70777777777778</c:v>
                </c:pt>
                <c:pt idx="5">
                  <c:v>10.899999999999999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2B0-4F06-99FD-5190BB4A63B2}"/>
            </c:ext>
          </c:extLst>
        </c:ser>
        <c:ser>
          <c:idx val="7"/>
          <c:order val="7"/>
          <c:tx>
            <c:strRef>
              <c:f>'Average GRD'!$J$49</c:f>
              <c:strCache>
                <c:ptCount val="1"/>
                <c:pt idx="0">
                  <c:v>BKW BE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'Average GRD'!$B$50:$B$55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GRD'!$J$50:$J$55</c:f>
              <c:numCache>
                <c:formatCode>0.00</c:formatCode>
                <c:ptCount val="6"/>
                <c:pt idx="0">
                  <c:v>7.68</c:v>
                </c:pt>
                <c:pt idx="1">
                  <c:v>14.03</c:v>
                </c:pt>
                <c:pt idx="3">
                  <c:v>9.36</c:v>
                </c:pt>
                <c:pt idx="4">
                  <c:v>6.79</c:v>
                </c:pt>
                <c:pt idx="5">
                  <c:v>10.41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2B0-4F06-99FD-5190BB4A63B2}"/>
            </c:ext>
          </c:extLst>
        </c:ser>
        <c:ser>
          <c:idx val="8"/>
          <c:order val="8"/>
          <c:tx>
            <c:strRef>
              <c:f>'Average GRD'!$K$49</c:f>
              <c:strCache>
                <c:ptCount val="1"/>
                <c:pt idx="0">
                  <c:v>BKW JU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'Average GRD'!$B$50:$B$55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GRD'!$K$50:$K$55</c:f>
              <c:numCache>
                <c:formatCode>0.00</c:formatCode>
                <c:ptCount val="6"/>
                <c:pt idx="0">
                  <c:v>7.68</c:v>
                </c:pt>
                <c:pt idx="1">
                  <c:v>14.03</c:v>
                </c:pt>
                <c:pt idx="3">
                  <c:v>9.36</c:v>
                </c:pt>
                <c:pt idx="4">
                  <c:v>6.79</c:v>
                </c:pt>
                <c:pt idx="5">
                  <c:v>10.41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2B0-4F06-99FD-5190BB4A63B2}"/>
            </c:ext>
          </c:extLst>
        </c:ser>
        <c:ser>
          <c:idx val="9"/>
          <c:order val="9"/>
          <c:tx>
            <c:strRef>
              <c:f>'Average GRD'!$L$49</c:f>
              <c:strCache>
                <c:ptCount val="1"/>
                <c:pt idx="0">
                  <c:v>SES TI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'Average GRD'!$B$50:$B$55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GRD'!$L$50:$L$55</c:f>
              <c:numCache>
                <c:formatCode>0.00</c:formatCode>
                <c:ptCount val="6"/>
                <c:pt idx="0">
                  <c:v>9</c:v>
                </c:pt>
                <c:pt idx="1">
                  <c:v>9</c:v>
                </c:pt>
                <c:pt idx="2">
                  <c:v>9.35</c:v>
                </c:pt>
                <c:pt idx="3">
                  <c:v>12</c:v>
                </c:pt>
                <c:pt idx="4">
                  <c:v>15</c:v>
                </c:pt>
                <c:pt idx="5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2B0-4F06-99FD-5190BB4A6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176592"/>
        <c:axId val="995170352"/>
      </c:scatterChart>
      <c:valAx>
        <c:axId val="99517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5170352"/>
        <c:crosses val="autoZero"/>
        <c:crossBetween val="midCat"/>
      </c:valAx>
      <c:valAx>
        <c:axId val="99517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517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265578</xdr:colOff>
      <xdr:row>5</xdr:row>
      <xdr:rowOff>100895</xdr:rowOff>
    </xdr:from>
    <xdr:to>
      <xdr:col>23</xdr:col>
      <xdr:colOff>513784</xdr:colOff>
      <xdr:row>30</xdr:row>
      <xdr:rowOff>93254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63161C-FA6E-42CD-A45C-D3C9ACEE6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263703</xdr:colOff>
      <xdr:row>30</xdr:row>
      <xdr:rowOff>76168</xdr:rowOff>
    </xdr:from>
    <xdr:to>
      <xdr:col>17</xdr:col>
      <xdr:colOff>779301</xdr:colOff>
      <xdr:row>55</xdr:row>
      <xdr:rowOff>68528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A66DAAD-9475-73E2-5F30-4C37B7097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777659</xdr:colOff>
      <xdr:row>30</xdr:row>
      <xdr:rowOff>87576</xdr:rowOff>
    </xdr:from>
    <xdr:to>
      <xdr:col>23</xdr:col>
      <xdr:colOff>514698</xdr:colOff>
      <xdr:row>55</xdr:row>
      <xdr:rowOff>75128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ABC66C2-E15F-4F67-845D-EFA74EC2D9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Evolium_2025">
      <a:dk1>
        <a:srgbClr val="000000"/>
      </a:dk1>
      <a:lt1>
        <a:srgbClr val="FFFFFF"/>
      </a:lt1>
      <a:dk2>
        <a:srgbClr val="24356A"/>
      </a:dk2>
      <a:lt2>
        <a:srgbClr val="A7DB66"/>
      </a:lt2>
      <a:accent1>
        <a:srgbClr val="117AFF"/>
      </a:accent1>
      <a:accent2>
        <a:srgbClr val="A7DB66"/>
      </a:accent2>
      <a:accent3>
        <a:srgbClr val="FFC000"/>
      </a:accent3>
      <a:accent4>
        <a:srgbClr val="000000"/>
      </a:accent4>
      <a:accent5>
        <a:srgbClr val="FFFFFF"/>
      </a:accent5>
      <a:accent6>
        <a:srgbClr val="24356A"/>
      </a:accent6>
      <a:hlink>
        <a:srgbClr val="117AFF"/>
      </a:hlink>
      <a:folHlink>
        <a:srgbClr val="117AF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vese.ch/fr/pvtarif/" TargetMode="External"/><Relationship Id="rId1" Type="http://schemas.openxmlformats.org/officeDocument/2006/relationships/hyperlink" Target="https://www.prix-electricite.elcom.admin.ch/?period=2025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44CAD-D361-42F5-AD45-00A51583A23D}">
  <dimension ref="A2:T77"/>
  <sheetViews>
    <sheetView tabSelected="1" zoomScale="124" zoomScaleNormal="85" workbookViewId="0">
      <selection activeCell="S5" sqref="S5"/>
    </sheetView>
  </sheetViews>
  <sheetFormatPr baseColWidth="10" defaultRowHeight="14.5" x14ac:dyDescent="0.35"/>
  <cols>
    <col min="1" max="1" width="24" bestFit="1" customWidth="1"/>
    <col min="2" max="2" width="13.1796875" bestFit="1" customWidth="1"/>
    <col min="3" max="3" width="16.6328125" bestFit="1" customWidth="1"/>
    <col min="6" max="6" width="13.453125" bestFit="1" customWidth="1"/>
    <col min="7" max="7" width="21.90625" bestFit="1" customWidth="1"/>
    <col min="8" max="8" width="23.81640625" bestFit="1" customWidth="1"/>
    <col min="10" max="10" width="14" bestFit="1" customWidth="1"/>
  </cols>
  <sheetData>
    <row r="2" spans="1:20" x14ac:dyDescent="0.35">
      <c r="A2" t="s">
        <v>36</v>
      </c>
      <c r="C2" t="s">
        <v>38</v>
      </c>
    </row>
    <row r="3" spans="1:20" x14ac:dyDescent="0.35">
      <c r="A3" t="s">
        <v>35</v>
      </c>
      <c r="B3">
        <v>280</v>
      </c>
      <c r="C3" t="s">
        <v>39</v>
      </c>
    </row>
    <row r="4" spans="1:20" x14ac:dyDescent="0.35">
      <c r="A4" t="s">
        <v>42</v>
      </c>
      <c r="B4">
        <v>25</v>
      </c>
      <c r="C4" t="s">
        <v>37</v>
      </c>
    </row>
    <row r="5" spans="1:20" x14ac:dyDescent="0.35">
      <c r="A5" t="s">
        <v>5</v>
      </c>
      <c r="B5">
        <v>3500</v>
      </c>
    </row>
    <row r="6" spans="1:20" x14ac:dyDescent="0.35">
      <c r="A6" t="s">
        <v>40</v>
      </c>
      <c r="B6">
        <f>B5/B4</f>
        <v>140</v>
      </c>
    </row>
    <row r="7" spans="1:20" x14ac:dyDescent="0.35">
      <c r="A7" t="s">
        <v>6</v>
      </c>
      <c r="B7">
        <v>20</v>
      </c>
    </row>
    <row r="8" spans="1:20" x14ac:dyDescent="0.35">
      <c r="A8" t="s">
        <v>34</v>
      </c>
      <c r="B8">
        <f>B7*12</f>
        <v>240</v>
      </c>
    </row>
    <row r="9" spans="1:20" x14ac:dyDescent="0.35">
      <c r="A9" t="s">
        <v>41</v>
      </c>
      <c r="B9" s="5">
        <v>0.1</v>
      </c>
      <c r="E9" s="1"/>
    </row>
    <row r="10" spans="1:20" x14ac:dyDescent="0.35">
      <c r="A10" t="s">
        <v>34</v>
      </c>
      <c r="B10">
        <f>B8-B8*B9</f>
        <v>216</v>
      </c>
      <c r="E10" s="1"/>
    </row>
    <row r="11" spans="1:20" x14ac:dyDescent="0.35">
      <c r="E11" s="1"/>
      <c r="F11" s="5"/>
    </row>
    <row r="14" spans="1:20" x14ac:dyDescent="0.35">
      <c r="G14" s="2"/>
    </row>
    <row r="15" spans="1:20" x14ac:dyDescent="0.35">
      <c r="B15" t="s">
        <v>0</v>
      </c>
      <c r="C15" t="s">
        <v>8</v>
      </c>
      <c r="D15" t="s">
        <v>2</v>
      </c>
      <c r="E15" t="s">
        <v>1</v>
      </c>
      <c r="F15" t="s">
        <v>3</v>
      </c>
      <c r="G15" t="s">
        <v>4</v>
      </c>
      <c r="S15" s="4">
        <v>2020</v>
      </c>
      <c r="T15">
        <f t="shared" ref="T15:T30" si="0">1.592*S15-3209.3</f>
        <v>6.5399999999999636</v>
      </c>
    </row>
    <row r="16" spans="1:20" x14ac:dyDescent="0.35">
      <c r="B16" s="4">
        <v>2020</v>
      </c>
      <c r="C16" s="8">
        <f>C40</f>
        <v>22.942222222222224</v>
      </c>
      <c r="D16" s="8">
        <f>C50</f>
        <v>8.5022222222222226</v>
      </c>
      <c r="E16" s="8">
        <f t="shared" ref="E16:E21" si="1">C16-D16</f>
        <v>14.440000000000001</v>
      </c>
      <c r="F16" s="3">
        <f>E16*10*$B$3/100</f>
        <v>404.32</v>
      </c>
      <c r="G16" s="3">
        <f>$B$10+$B$6</f>
        <v>356</v>
      </c>
      <c r="H16" s="3"/>
      <c r="S16" s="4">
        <v>2021</v>
      </c>
      <c r="T16">
        <f t="shared" si="0"/>
        <v>8.1320000000000618</v>
      </c>
    </row>
    <row r="17" spans="2:20" x14ac:dyDescent="0.35">
      <c r="B17" s="4">
        <v>2021</v>
      </c>
      <c r="C17" s="8">
        <f t="shared" ref="C17:C20" si="2">C41</f>
        <v>22.87444444444445</v>
      </c>
      <c r="D17" s="8">
        <f t="shared" ref="D17:D21" si="3">C51</f>
        <v>10.483333333333334</v>
      </c>
      <c r="E17" s="8">
        <f t="shared" si="1"/>
        <v>12.391111111111115</v>
      </c>
      <c r="F17" s="3">
        <f t="shared" ref="F17:F32" si="4">E17*10*$B$3/100</f>
        <v>346.95111111111123</v>
      </c>
      <c r="G17" s="3">
        <f t="shared" ref="G17:G32" si="5">$B$10+$B$6</f>
        <v>356</v>
      </c>
      <c r="H17" s="3"/>
      <c r="S17" s="4">
        <v>2022</v>
      </c>
      <c r="T17">
        <f t="shared" si="0"/>
        <v>9.7240000000001601</v>
      </c>
    </row>
    <row r="18" spans="2:20" x14ac:dyDescent="0.35">
      <c r="B18" s="4">
        <v>2022</v>
      </c>
      <c r="C18" s="8">
        <f>C42</f>
        <v>21.765000000000001</v>
      </c>
      <c r="D18" s="8">
        <f>C52</f>
        <v>9.1250000000000018</v>
      </c>
      <c r="E18" s="8">
        <f t="shared" si="1"/>
        <v>12.639999999999999</v>
      </c>
      <c r="F18" s="3">
        <f t="shared" si="4"/>
        <v>353.92</v>
      </c>
      <c r="G18" s="3">
        <f t="shared" si="5"/>
        <v>356</v>
      </c>
      <c r="H18" s="3"/>
      <c r="S18" s="4">
        <v>2023</v>
      </c>
      <c r="T18">
        <f t="shared" si="0"/>
        <v>11.315999999999804</v>
      </c>
    </row>
    <row r="19" spans="2:20" x14ac:dyDescent="0.35">
      <c r="B19" s="4">
        <v>2023</v>
      </c>
      <c r="C19" s="8">
        <f t="shared" si="2"/>
        <v>27.664444444444445</v>
      </c>
      <c r="D19" s="8">
        <f t="shared" si="3"/>
        <v>13.147777777777778</v>
      </c>
      <c r="E19" s="8">
        <f t="shared" si="1"/>
        <v>14.516666666666667</v>
      </c>
      <c r="F19" s="3">
        <f t="shared" si="4"/>
        <v>406.4666666666667</v>
      </c>
      <c r="G19" s="3">
        <f t="shared" si="5"/>
        <v>356</v>
      </c>
      <c r="H19" s="3"/>
      <c r="S19" s="4">
        <v>2024</v>
      </c>
      <c r="T19">
        <f t="shared" si="0"/>
        <v>12.907999999999902</v>
      </c>
    </row>
    <row r="20" spans="2:20" x14ac:dyDescent="0.35">
      <c r="B20" s="4">
        <v>2024</v>
      </c>
      <c r="C20" s="8">
        <f t="shared" si="2"/>
        <v>32.099999999999994</v>
      </c>
      <c r="D20" s="8">
        <f t="shared" si="3"/>
        <v>12.70777777777778</v>
      </c>
      <c r="E20" s="8">
        <f t="shared" si="1"/>
        <v>19.392222222222216</v>
      </c>
      <c r="F20" s="3">
        <f t="shared" si="4"/>
        <v>542.98222222222205</v>
      </c>
      <c r="G20" s="3">
        <f t="shared" si="5"/>
        <v>356</v>
      </c>
      <c r="H20" s="3"/>
      <c r="J20" t="s">
        <v>30</v>
      </c>
      <c r="K20" t="s">
        <v>31</v>
      </c>
      <c r="L20" t="s">
        <v>32</v>
      </c>
      <c r="S20" s="4">
        <v>2025</v>
      </c>
      <c r="T20">
        <f t="shared" si="0"/>
        <v>14.5</v>
      </c>
    </row>
    <row r="21" spans="2:20" x14ac:dyDescent="0.35">
      <c r="B21" s="4">
        <v>2025</v>
      </c>
      <c r="C21" s="8">
        <f>C45</f>
        <v>29.727777777777778</v>
      </c>
      <c r="D21" s="8">
        <f t="shared" si="3"/>
        <v>10.899999999999999</v>
      </c>
      <c r="E21" s="8">
        <f t="shared" si="1"/>
        <v>18.827777777777779</v>
      </c>
      <c r="F21" s="3">
        <f t="shared" si="4"/>
        <v>527.17777777777781</v>
      </c>
      <c r="G21" s="3">
        <f t="shared" si="5"/>
        <v>356</v>
      </c>
      <c r="H21" s="3">
        <f>F21-G21</f>
        <v>171.17777777777781</v>
      </c>
      <c r="K21" s="7">
        <f>N64</f>
        <v>20.019868320107143</v>
      </c>
      <c r="L21" s="7">
        <f>O64</f>
        <v>17.635687235448408</v>
      </c>
      <c r="M21" s="7"/>
      <c r="S21">
        <v>2026</v>
      </c>
      <c r="T21">
        <f t="shared" si="0"/>
        <v>16.092000000000098</v>
      </c>
    </row>
    <row r="22" spans="2:20" x14ac:dyDescent="0.35">
      <c r="B22">
        <v>2026</v>
      </c>
      <c r="C22" s="1">
        <f t="shared" ref="C22:C32" si="6">D22+E22</f>
        <v>26.849851851851327</v>
      </c>
      <c r="D22">
        <v>7</v>
      </c>
      <c r="E22" s="1">
        <f>B22*$B$35+$C$35</f>
        <v>19.849851851851327</v>
      </c>
      <c r="F22" s="3">
        <f t="shared" si="4"/>
        <v>555.79585185183714</v>
      </c>
      <c r="G22" s="3">
        <f t="shared" si="5"/>
        <v>356</v>
      </c>
      <c r="H22" s="3">
        <f t="shared" ref="H22:H32" si="7">F22-G22</f>
        <v>199.79585185183714</v>
      </c>
      <c r="J22">
        <v>1</v>
      </c>
      <c r="K22" s="7">
        <f t="shared" ref="K22" si="8">E22+J22</f>
        <v>20.849851851851327</v>
      </c>
      <c r="L22" s="7">
        <f t="shared" ref="L22" si="9">E22-J22</f>
        <v>18.849851851851327</v>
      </c>
      <c r="M22" s="7"/>
      <c r="S22">
        <v>2027</v>
      </c>
      <c r="T22">
        <f t="shared" si="0"/>
        <v>17.684000000000196</v>
      </c>
    </row>
    <row r="23" spans="2:20" x14ac:dyDescent="0.35">
      <c r="B23">
        <v>2027</v>
      </c>
      <c r="C23" s="1">
        <f t="shared" si="6"/>
        <v>28.130391534391038</v>
      </c>
      <c r="D23">
        <v>7</v>
      </c>
      <c r="E23" s="1">
        <f t="shared" ref="E23:E24" si="10">B23*$B$35+$C$35</f>
        <v>21.130391534391038</v>
      </c>
      <c r="F23" s="3">
        <f t="shared" si="4"/>
        <v>591.65096296294905</v>
      </c>
      <c r="G23" s="3">
        <f t="shared" si="5"/>
        <v>356</v>
      </c>
      <c r="H23" s="3">
        <f t="shared" si="7"/>
        <v>235.65096296294905</v>
      </c>
      <c r="I23" s="12" t="s">
        <v>26</v>
      </c>
      <c r="J23">
        <v>1.2</v>
      </c>
      <c r="K23" s="7">
        <f t="shared" ref="K23:K32" si="11">E23+J23</f>
        <v>22.330391534391037</v>
      </c>
      <c r="L23" s="7">
        <f t="shared" ref="L23:L32" si="12">E23-J23</f>
        <v>19.930391534391038</v>
      </c>
      <c r="M23" s="7"/>
      <c r="S23">
        <v>2028</v>
      </c>
      <c r="T23">
        <f t="shared" si="0"/>
        <v>19.27599999999984</v>
      </c>
    </row>
    <row r="24" spans="2:20" x14ac:dyDescent="0.35">
      <c r="B24">
        <v>2028</v>
      </c>
      <c r="C24" s="1">
        <f t="shared" si="6"/>
        <v>28.410931216930749</v>
      </c>
      <c r="D24">
        <v>6</v>
      </c>
      <c r="E24" s="1">
        <f t="shared" si="10"/>
        <v>22.410931216930749</v>
      </c>
      <c r="F24" s="3">
        <f t="shared" si="4"/>
        <v>627.50607407406096</v>
      </c>
      <c r="G24" s="3">
        <f t="shared" si="5"/>
        <v>356</v>
      </c>
      <c r="H24" s="3">
        <f t="shared" si="7"/>
        <v>271.50607407406096</v>
      </c>
      <c r="I24" s="12"/>
      <c r="J24">
        <v>1.8</v>
      </c>
      <c r="K24" s="7">
        <f t="shared" si="11"/>
        <v>24.210931216930749</v>
      </c>
      <c r="L24" s="7">
        <f t="shared" si="12"/>
        <v>20.610931216930748</v>
      </c>
      <c r="M24" s="7"/>
      <c r="S24">
        <v>2029</v>
      </c>
      <c r="T24">
        <f t="shared" si="0"/>
        <v>20.867999999999938</v>
      </c>
    </row>
    <row r="25" spans="2:20" x14ac:dyDescent="0.35">
      <c r="B25">
        <v>2029</v>
      </c>
      <c r="C25" s="1">
        <f t="shared" si="6"/>
        <v>29.69147089947046</v>
      </c>
      <c r="D25">
        <v>6</v>
      </c>
      <c r="E25" s="1">
        <f>B25*$B$35+$C$35</f>
        <v>23.69147089947046</v>
      </c>
      <c r="F25" s="3">
        <f t="shared" si="4"/>
        <v>663.36118518517299</v>
      </c>
      <c r="G25" s="3">
        <f t="shared" si="5"/>
        <v>356</v>
      </c>
      <c r="H25" s="3">
        <f t="shared" si="7"/>
        <v>307.36118518517299</v>
      </c>
      <c r="I25" s="12"/>
      <c r="J25">
        <v>2.4</v>
      </c>
      <c r="K25" s="7">
        <f t="shared" si="11"/>
        <v>26.091470899470458</v>
      </c>
      <c r="L25" s="7">
        <f t="shared" si="12"/>
        <v>21.291470899470461</v>
      </c>
      <c r="M25" s="7"/>
      <c r="S25">
        <v>2030</v>
      </c>
      <c r="T25">
        <f t="shared" si="0"/>
        <v>22.460000000000036</v>
      </c>
    </row>
    <row r="26" spans="2:20" x14ac:dyDescent="0.35">
      <c r="B26">
        <v>2030</v>
      </c>
      <c r="C26" s="1">
        <f t="shared" si="6"/>
        <v>31.091470899470458</v>
      </c>
      <c r="D26">
        <v>6</v>
      </c>
      <c r="E26" s="1">
        <f t="shared" ref="E26:E32" si="13">E25+I26</f>
        <v>25.091470899470458</v>
      </c>
      <c r="F26" s="3">
        <f t="shared" si="4"/>
        <v>702.56118518517292</v>
      </c>
      <c r="G26" s="3">
        <f t="shared" si="5"/>
        <v>356</v>
      </c>
      <c r="H26" s="3">
        <f t="shared" si="7"/>
        <v>346.56118518517292</v>
      </c>
      <c r="I26" s="1">
        <v>1.4</v>
      </c>
      <c r="J26">
        <v>3</v>
      </c>
      <c r="K26" s="7">
        <f t="shared" si="11"/>
        <v>28.091470899470458</v>
      </c>
      <c r="L26" s="7">
        <f t="shared" si="12"/>
        <v>22.091470899470458</v>
      </c>
      <c r="M26" s="7"/>
      <c r="S26">
        <v>2031</v>
      </c>
      <c r="T26">
        <f t="shared" si="0"/>
        <v>24.052000000000135</v>
      </c>
    </row>
    <row r="27" spans="2:20" x14ac:dyDescent="0.35">
      <c r="B27">
        <v>2031</v>
      </c>
      <c r="C27" s="1">
        <f t="shared" si="6"/>
        <v>32.291470899470454</v>
      </c>
      <c r="D27">
        <v>6</v>
      </c>
      <c r="E27" s="1">
        <f t="shared" si="13"/>
        <v>26.291470899470458</v>
      </c>
      <c r="F27" s="3">
        <f t="shared" si="4"/>
        <v>736.16118518517294</v>
      </c>
      <c r="G27" s="3">
        <f t="shared" si="5"/>
        <v>356</v>
      </c>
      <c r="H27" s="3">
        <f t="shared" si="7"/>
        <v>380.16118518517294</v>
      </c>
      <c r="I27" s="1">
        <v>1.2</v>
      </c>
      <c r="J27">
        <v>3.6</v>
      </c>
      <c r="K27" s="7">
        <f t="shared" si="11"/>
        <v>29.891470899470459</v>
      </c>
      <c r="L27" s="7">
        <f t="shared" si="12"/>
        <v>22.691470899470456</v>
      </c>
      <c r="M27" s="7"/>
      <c r="S27">
        <v>2032</v>
      </c>
      <c r="T27">
        <f t="shared" si="0"/>
        <v>25.643999999999778</v>
      </c>
    </row>
    <row r="28" spans="2:20" x14ac:dyDescent="0.35">
      <c r="B28">
        <v>2032</v>
      </c>
      <c r="C28" s="1">
        <f t="shared" si="6"/>
        <v>33.391470899470463</v>
      </c>
      <c r="D28">
        <v>6</v>
      </c>
      <c r="E28" s="1">
        <f t="shared" si="13"/>
        <v>27.391470899470459</v>
      </c>
      <c r="F28" s="3">
        <f t="shared" si="4"/>
        <v>766.96118518517289</v>
      </c>
      <c r="G28" s="3">
        <f t="shared" si="5"/>
        <v>356</v>
      </c>
      <c r="H28" s="3">
        <f t="shared" si="7"/>
        <v>410.96118518517289</v>
      </c>
      <c r="I28" s="1">
        <v>1.1000000000000001</v>
      </c>
      <c r="J28">
        <v>4.2</v>
      </c>
      <c r="K28" s="7">
        <f t="shared" si="11"/>
        <v>31.591470899470458</v>
      </c>
      <c r="L28" s="7">
        <f t="shared" si="12"/>
        <v>23.19147089947046</v>
      </c>
      <c r="M28" s="7"/>
      <c r="S28">
        <v>2033</v>
      </c>
      <c r="T28">
        <f t="shared" si="0"/>
        <v>27.235999999999876</v>
      </c>
    </row>
    <row r="29" spans="2:20" x14ac:dyDescent="0.35">
      <c r="B29">
        <v>2033</v>
      </c>
      <c r="C29" s="1">
        <f t="shared" si="6"/>
        <v>34.291470899470454</v>
      </c>
      <c r="D29">
        <v>6</v>
      </c>
      <c r="E29" s="1">
        <f t="shared" si="13"/>
        <v>28.291470899470458</v>
      </c>
      <c r="F29" s="3">
        <f t="shared" si="4"/>
        <v>792.16118518517294</v>
      </c>
      <c r="G29" s="3">
        <f t="shared" si="5"/>
        <v>356</v>
      </c>
      <c r="H29" s="3">
        <f t="shared" si="7"/>
        <v>436.16118518517294</v>
      </c>
      <c r="I29" s="1">
        <v>0.9</v>
      </c>
      <c r="J29">
        <v>4.8</v>
      </c>
      <c r="K29" s="7">
        <f t="shared" si="11"/>
        <v>33.091470899470458</v>
      </c>
      <c r="L29" s="7">
        <f t="shared" si="12"/>
        <v>23.491470899470457</v>
      </c>
      <c r="M29" s="7"/>
      <c r="S29">
        <v>2034</v>
      </c>
      <c r="T29">
        <f t="shared" si="0"/>
        <v>28.827999999999975</v>
      </c>
    </row>
    <row r="30" spans="2:20" x14ac:dyDescent="0.35">
      <c r="B30">
        <v>2034</v>
      </c>
      <c r="C30" s="1">
        <f t="shared" si="6"/>
        <v>35.091470899470458</v>
      </c>
      <c r="D30">
        <v>6</v>
      </c>
      <c r="E30" s="1">
        <f t="shared" si="13"/>
        <v>29.091470899470458</v>
      </c>
      <c r="F30" s="3">
        <f t="shared" si="4"/>
        <v>814.56118518517292</v>
      </c>
      <c r="G30" s="3">
        <f t="shared" si="5"/>
        <v>356</v>
      </c>
      <c r="H30" s="3">
        <f t="shared" si="7"/>
        <v>458.56118518517292</v>
      </c>
      <c r="I30" s="1">
        <v>0.8</v>
      </c>
      <c r="J30">
        <v>5.4</v>
      </c>
      <c r="K30" s="7">
        <f t="shared" si="11"/>
        <v>34.491470899470457</v>
      </c>
      <c r="L30" s="7">
        <f t="shared" si="12"/>
        <v>23.69147089947046</v>
      </c>
      <c r="M30" s="7"/>
      <c r="S30">
        <v>2035</v>
      </c>
      <c r="T30">
        <f t="shared" si="0"/>
        <v>30.420000000000073</v>
      </c>
    </row>
    <row r="31" spans="2:20" x14ac:dyDescent="0.35">
      <c r="B31">
        <v>2035</v>
      </c>
      <c r="C31" s="1">
        <f t="shared" si="6"/>
        <v>35.561470899470457</v>
      </c>
      <c r="D31">
        <v>6</v>
      </c>
      <c r="E31" s="1">
        <f t="shared" si="13"/>
        <v>29.561470899470457</v>
      </c>
      <c r="F31" s="3">
        <f t="shared" si="4"/>
        <v>827.72118518517277</v>
      </c>
      <c r="G31" s="3">
        <f t="shared" si="5"/>
        <v>356</v>
      </c>
      <c r="H31" s="3">
        <f t="shared" si="7"/>
        <v>471.72118518517277</v>
      </c>
      <c r="I31" s="1">
        <v>0.47</v>
      </c>
      <c r="J31">
        <v>6</v>
      </c>
      <c r="K31" s="7">
        <f t="shared" si="11"/>
        <v>35.561470899470457</v>
      </c>
      <c r="L31" s="7">
        <f t="shared" si="12"/>
        <v>23.561470899470457</v>
      </c>
      <c r="M31" s="7"/>
      <c r="S31">
        <v>2036</v>
      </c>
      <c r="T31">
        <f>1.592*S31-3209.3</f>
        <v>32.012000000000171</v>
      </c>
    </row>
    <row r="32" spans="2:20" x14ac:dyDescent="0.35">
      <c r="B32">
        <v>2036</v>
      </c>
      <c r="C32" s="1">
        <f t="shared" si="6"/>
        <v>35.911470899470459</v>
      </c>
      <c r="D32">
        <v>6</v>
      </c>
      <c r="E32" s="1">
        <f t="shared" si="13"/>
        <v>29.911470899470459</v>
      </c>
      <c r="F32" s="3">
        <f t="shared" si="4"/>
        <v>837.52118518517284</v>
      </c>
      <c r="G32" s="3">
        <f t="shared" si="5"/>
        <v>356</v>
      </c>
      <c r="H32" s="3">
        <f t="shared" si="7"/>
        <v>481.52118518517284</v>
      </c>
      <c r="I32" s="1">
        <v>0.35</v>
      </c>
      <c r="J32">
        <v>6.5</v>
      </c>
      <c r="K32" s="7">
        <f t="shared" si="11"/>
        <v>36.411470899470459</v>
      </c>
      <c r="L32" s="7">
        <f t="shared" si="12"/>
        <v>23.411470899470459</v>
      </c>
      <c r="M32" s="7"/>
    </row>
    <row r="34" spans="2:13" x14ac:dyDescent="0.35">
      <c r="B34" t="s">
        <v>7</v>
      </c>
      <c r="F34" s="6">
        <f>SUM(F22:F32)</f>
        <v>7915.96237037023</v>
      </c>
      <c r="G34" s="6">
        <f>SUM(G22:G32)</f>
        <v>3916</v>
      </c>
      <c r="H34" s="6">
        <f>SUM(H22:H32)</f>
        <v>3999.96237037023</v>
      </c>
    </row>
    <row r="35" spans="2:13" x14ac:dyDescent="0.35">
      <c r="B35" s="1" cm="1">
        <f t="array" ref="B35:C35">LINEST(E16:E21,B16:B21)</f>
        <v>1.2805396825396818</v>
      </c>
      <c r="C35" s="1">
        <v>-2574.5235449735437</v>
      </c>
      <c r="G35" s="10">
        <f>(G21/B3)/10</f>
        <v>0.12714285714285714</v>
      </c>
      <c r="H35" s="10"/>
    </row>
    <row r="37" spans="2:13" x14ac:dyDescent="0.35">
      <c r="B37" s="11" t="s">
        <v>24</v>
      </c>
      <c r="C37" s="11"/>
      <c r="D37" s="11"/>
      <c r="E37" s="11"/>
      <c r="F37" s="11"/>
      <c r="G37" s="11"/>
    </row>
    <row r="38" spans="2:13" x14ac:dyDescent="0.35">
      <c r="B38" t="s">
        <v>10</v>
      </c>
      <c r="C38" s="9" t="s">
        <v>12</v>
      </c>
    </row>
    <row r="39" spans="2:13" x14ac:dyDescent="0.35">
      <c r="C39" t="s">
        <v>9</v>
      </c>
      <c r="D39" t="s">
        <v>15</v>
      </c>
      <c r="E39" t="s">
        <v>22</v>
      </c>
      <c r="F39" t="s">
        <v>16</v>
      </c>
      <c r="G39" t="s">
        <v>17</v>
      </c>
      <c r="H39" t="s">
        <v>18</v>
      </c>
      <c r="I39" t="s">
        <v>13</v>
      </c>
      <c r="J39" t="s">
        <v>19</v>
      </c>
      <c r="K39" t="s">
        <v>20</v>
      </c>
      <c r="L39" t="s">
        <v>21</v>
      </c>
    </row>
    <row r="40" spans="2:13" x14ac:dyDescent="0.35">
      <c r="B40">
        <v>2020</v>
      </c>
      <c r="C40" s="1">
        <f>AVERAGE(D40:M40)</f>
        <v>22.942222222222224</v>
      </c>
      <c r="D40" s="1">
        <v>18.190000000000001</v>
      </c>
      <c r="E40" s="1">
        <v>20.88</v>
      </c>
      <c r="F40" s="1">
        <v>20.48</v>
      </c>
      <c r="G40" s="1">
        <v>21.16</v>
      </c>
      <c r="H40" s="1">
        <v>22.76</v>
      </c>
      <c r="I40" s="1">
        <v>25.77</v>
      </c>
      <c r="J40" s="1">
        <v>26.24</v>
      </c>
      <c r="K40" s="1">
        <v>26.24</v>
      </c>
      <c r="L40" s="1">
        <v>24.76</v>
      </c>
      <c r="M40" s="1"/>
    </row>
    <row r="41" spans="2:13" x14ac:dyDescent="0.35">
      <c r="B41">
        <v>2021</v>
      </c>
      <c r="C41" s="1">
        <f t="shared" ref="C41:C45" si="14">AVERAGE(D41:M41)</f>
        <v>22.87444444444445</v>
      </c>
      <c r="D41" s="1">
        <v>17.95</v>
      </c>
      <c r="E41" s="1">
        <v>21.03</v>
      </c>
      <c r="F41" s="1">
        <v>20.18</v>
      </c>
      <c r="G41" s="1">
        <v>21.16</v>
      </c>
      <c r="H41" s="1">
        <v>22.76</v>
      </c>
      <c r="I41" s="1">
        <v>25.53</v>
      </c>
      <c r="J41" s="1">
        <v>26.24</v>
      </c>
      <c r="K41" s="1">
        <v>26.24</v>
      </c>
      <c r="L41" s="1">
        <v>24.78</v>
      </c>
      <c r="M41" s="1"/>
    </row>
    <row r="42" spans="2:13" x14ac:dyDescent="0.35">
      <c r="B42">
        <v>2022</v>
      </c>
      <c r="C42" s="1">
        <f t="shared" si="14"/>
        <v>21.765000000000001</v>
      </c>
      <c r="D42" s="1">
        <v>19.89</v>
      </c>
      <c r="E42" s="1">
        <v>21.21</v>
      </c>
      <c r="F42" s="1">
        <v>20.85</v>
      </c>
      <c r="G42" s="1">
        <v>21.16</v>
      </c>
      <c r="H42" s="1">
        <v>22.76</v>
      </c>
      <c r="I42" s="1"/>
      <c r="J42" s="1"/>
      <c r="K42" s="1"/>
      <c r="L42" s="1">
        <v>24.72</v>
      </c>
      <c r="M42" s="1"/>
    </row>
    <row r="43" spans="2:13" x14ac:dyDescent="0.35">
      <c r="B43">
        <v>2023</v>
      </c>
      <c r="C43" s="1">
        <f t="shared" si="14"/>
        <v>27.664444444444445</v>
      </c>
      <c r="D43" s="1">
        <v>30.8</v>
      </c>
      <c r="E43" s="1">
        <v>32.26</v>
      </c>
      <c r="F43" s="1">
        <v>27.45</v>
      </c>
      <c r="G43" s="1">
        <v>25.35</v>
      </c>
      <c r="H43" s="1">
        <v>26.95</v>
      </c>
      <c r="I43" s="1">
        <v>25.93</v>
      </c>
      <c r="J43" s="1">
        <v>25.5</v>
      </c>
      <c r="K43" s="1">
        <v>25.5</v>
      </c>
      <c r="L43" s="1">
        <v>29.24</v>
      </c>
      <c r="M43" s="1"/>
    </row>
    <row r="44" spans="2:13" x14ac:dyDescent="0.35">
      <c r="B44">
        <v>2024</v>
      </c>
      <c r="C44" s="1">
        <f t="shared" si="14"/>
        <v>32.099999999999994</v>
      </c>
      <c r="D44" s="1">
        <v>34.61</v>
      </c>
      <c r="E44" s="1">
        <v>32.549999999999997</v>
      </c>
      <c r="F44" s="1">
        <v>28.44</v>
      </c>
      <c r="G44" s="1">
        <v>32.4</v>
      </c>
      <c r="H44" s="1">
        <v>34</v>
      </c>
      <c r="I44" s="1">
        <v>31.45</v>
      </c>
      <c r="J44" s="1">
        <v>30.27</v>
      </c>
      <c r="K44" s="1">
        <v>30.27</v>
      </c>
      <c r="L44" s="1">
        <v>34.909999999999997</v>
      </c>
      <c r="M44" s="1"/>
    </row>
    <row r="45" spans="2:13" x14ac:dyDescent="0.35">
      <c r="B45">
        <v>2025</v>
      </c>
      <c r="C45" s="1">
        <f t="shared" si="14"/>
        <v>29.727777777777778</v>
      </c>
      <c r="D45" s="1">
        <v>28.53</v>
      </c>
      <c r="E45" s="1">
        <v>30.36</v>
      </c>
      <c r="F45" s="1">
        <v>26.64</v>
      </c>
      <c r="G45" s="1">
        <v>28.9</v>
      </c>
      <c r="H45" s="1">
        <v>30.5</v>
      </c>
      <c r="I45" s="1">
        <v>30.98</v>
      </c>
      <c r="J45" s="1">
        <v>28.6</v>
      </c>
      <c r="K45" s="1">
        <v>29</v>
      </c>
      <c r="L45" s="1">
        <v>34.04</v>
      </c>
      <c r="M45" s="1"/>
    </row>
    <row r="47" spans="2:13" x14ac:dyDescent="0.35">
      <c r="B47" s="11" t="s">
        <v>23</v>
      </c>
      <c r="C47" s="11"/>
      <c r="D47" s="11"/>
      <c r="E47" s="11"/>
      <c r="F47" s="11"/>
      <c r="G47" s="11"/>
    </row>
    <row r="48" spans="2:13" x14ac:dyDescent="0.35">
      <c r="B48" t="s">
        <v>10</v>
      </c>
      <c r="C48" s="9" t="s">
        <v>11</v>
      </c>
      <c r="F48" t="s">
        <v>14</v>
      </c>
    </row>
    <row r="49" spans="2:15" x14ac:dyDescent="0.35">
      <c r="C49" t="s">
        <v>9</v>
      </c>
      <c r="D49" t="s">
        <v>15</v>
      </c>
      <c r="E49" t="s">
        <v>22</v>
      </c>
      <c r="F49" t="s">
        <v>16</v>
      </c>
      <c r="G49" t="s">
        <v>17</v>
      </c>
      <c r="H49" t="s">
        <v>18</v>
      </c>
      <c r="I49" t="s">
        <v>13</v>
      </c>
      <c r="J49" t="s">
        <v>19</v>
      </c>
      <c r="K49" t="s">
        <v>20</v>
      </c>
      <c r="L49" t="s">
        <v>21</v>
      </c>
    </row>
    <row r="50" spans="2:15" x14ac:dyDescent="0.35">
      <c r="B50">
        <v>2020</v>
      </c>
      <c r="C50" s="1">
        <f t="shared" ref="C50:C55" si="15">AVERAGE(D50:M50)</f>
        <v>8.5022222222222226</v>
      </c>
      <c r="D50" s="1">
        <v>8.1999999999999993</v>
      </c>
      <c r="E50" s="1">
        <f>6.19+1.97</f>
        <v>8.16</v>
      </c>
      <c r="F50" s="1">
        <v>7.7</v>
      </c>
      <c r="G50" s="1">
        <f t="shared" ref="G50:H52" si="16">2+7.3</f>
        <v>9.3000000000000007</v>
      </c>
      <c r="H50" s="1">
        <f t="shared" si="16"/>
        <v>9.3000000000000007</v>
      </c>
      <c r="I50" s="1">
        <f>4.5+5</f>
        <v>9.5</v>
      </c>
      <c r="J50" s="1">
        <f>4.5+3.18</f>
        <v>7.68</v>
      </c>
      <c r="K50" s="1">
        <f>4.5+3.18</f>
        <v>7.68</v>
      </c>
      <c r="L50" s="1">
        <f>3+6</f>
        <v>9</v>
      </c>
      <c r="M50" s="1"/>
    </row>
    <row r="51" spans="2:15" x14ac:dyDescent="0.35">
      <c r="B51">
        <v>2021</v>
      </c>
      <c r="C51" s="1">
        <f t="shared" si="15"/>
        <v>10.483333333333334</v>
      </c>
      <c r="D51" s="1">
        <v>7.3</v>
      </c>
      <c r="E51" s="1">
        <f>2.12+6.04</f>
        <v>8.16</v>
      </c>
      <c r="F51" s="1">
        <f>1.5+7.7</f>
        <v>9.1999999999999993</v>
      </c>
      <c r="G51" s="1">
        <f t="shared" si="16"/>
        <v>9.3000000000000007</v>
      </c>
      <c r="H51" s="1">
        <f t="shared" si="16"/>
        <v>9.3000000000000007</v>
      </c>
      <c r="I51" s="1">
        <f>4.5+9.53</f>
        <v>14.03</v>
      </c>
      <c r="J51" s="1">
        <f>4.5+9.53</f>
        <v>14.03</v>
      </c>
      <c r="K51" s="1">
        <f>4.5+9.53</f>
        <v>14.03</v>
      </c>
      <c r="L51" s="1">
        <f>3+6</f>
        <v>9</v>
      </c>
      <c r="M51" s="1"/>
    </row>
    <row r="52" spans="2:15" x14ac:dyDescent="0.35">
      <c r="B52">
        <v>2022</v>
      </c>
      <c r="C52" s="1">
        <f t="shared" si="15"/>
        <v>9.1250000000000018</v>
      </c>
      <c r="D52" s="1">
        <v>8.3000000000000007</v>
      </c>
      <c r="E52" s="1">
        <f>3.1+6.4</f>
        <v>9.5</v>
      </c>
      <c r="F52" s="1">
        <f>1.5+7.5</f>
        <v>9</v>
      </c>
      <c r="G52" s="1">
        <f t="shared" si="16"/>
        <v>9.3000000000000007</v>
      </c>
      <c r="H52" s="1">
        <f t="shared" si="16"/>
        <v>9.3000000000000007</v>
      </c>
      <c r="I52" s="1"/>
      <c r="J52" s="1"/>
      <c r="K52" s="1"/>
      <c r="L52" s="1">
        <f>3+6.35</f>
        <v>9.35</v>
      </c>
      <c r="M52" s="1"/>
    </row>
    <row r="53" spans="2:15" x14ac:dyDescent="0.35">
      <c r="B53">
        <v>2023</v>
      </c>
      <c r="C53" s="1">
        <f t="shared" si="15"/>
        <v>13.147777777777778</v>
      </c>
      <c r="D53" s="1">
        <v>16.45</v>
      </c>
      <c r="E53" s="1">
        <f>0.3+18.3</f>
        <v>18.600000000000001</v>
      </c>
      <c r="F53" s="1">
        <f>1.5+12.8</f>
        <v>14.3</v>
      </c>
      <c r="G53" s="1">
        <f>3+11.45</f>
        <v>14.45</v>
      </c>
      <c r="H53" s="1">
        <f>3+11.45</f>
        <v>14.45</v>
      </c>
      <c r="I53" s="1">
        <f>1+8.36</f>
        <v>9.36</v>
      </c>
      <c r="J53" s="1">
        <f>1+8.36</f>
        <v>9.36</v>
      </c>
      <c r="K53" s="1">
        <f>1+8.36</f>
        <v>9.36</v>
      </c>
      <c r="L53" s="1">
        <f>3+9</f>
        <v>12</v>
      </c>
      <c r="M53" s="1"/>
    </row>
    <row r="54" spans="2:15" x14ac:dyDescent="0.35">
      <c r="B54">
        <v>2024</v>
      </c>
      <c r="C54" s="1">
        <f t="shared" si="15"/>
        <v>12.70777777777778</v>
      </c>
      <c r="D54" s="1">
        <v>18.2</v>
      </c>
      <c r="E54" s="1">
        <f>0.8+16.8</f>
        <v>17.600000000000001</v>
      </c>
      <c r="F54" s="1">
        <f>1.5+12.8</f>
        <v>14.3</v>
      </c>
      <c r="G54" s="1">
        <f>3+11.45</f>
        <v>14.45</v>
      </c>
      <c r="H54" s="1">
        <f>3+11.45</f>
        <v>14.45</v>
      </c>
      <c r="I54" s="1">
        <f>2.25+4.54</f>
        <v>6.79</v>
      </c>
      <c r="J54" s="1">
        <f>2.25+4.54</f>
        <v>6.79</v>
      </c>
      <c r="K54" s="1">
        <f>2.25+4.54</f>
        <v>6.79</v>
      </c>
      <c r="L54" s="1">
        <f>2+13</f>
        <v>15</v>
      </c>
      <c r="M54" s="1"/>
    </row>
    <row r="55" spans="2:15" x14ac:dyDescent="0.35">
      <c r="B55">
        <v>2025</v>
      </c>
      <c r="C55" s="1">
        <f t="shared" si="15"/>
        <v>10.899999999999999</v>
      </c>
      <c r="D55" s="1">
        <v>11.2</v>
      </c>
      <c r="E55" s="1">
        <f>0.5+8.75</f>
        <v>9.25</v>
      </c>
      <c r="F55" s="1">
        <v>12.6</v>
      </c>
      <c r="G55" s="1">
        <f>4+6.91</f>
        <v>10.91</v>
      </c>
      <c r="H55" s="1">
        <f>4+6.91</f>
        <v>10.91</v>
      </c>
      <c r="I55" s="1">
        <f>3.5+6.91</f>
        <v>10.41</v>
      </c>
      <c r="J55" s="1">
        <f>3.5+6.91</f>
        <v>10.41</v>
      </c>
      <c r="K55" s="1">
        <f>3.5+6.91</f>
        <v>10.41</v>
      </c>
      <c r="L55" s="1">
        <f>2+10</f>
        <v>12</v>
      </c>
      <c r="M55" s="1"/>
    </row>
    <row r="56" spans="2:15" x14ac:dyDescent="0.35">
      <c r="E56" s="1"/>
    </row>
    <row r="57" spans="2:15" x14ac:dyDescent="0.35">
      <c r="B57" s="11" t="s">
        <v>25</v>
      </c>
      <c r="C57" s="11"/>
      <c r="D57" s="11"/>
      <c r="E57" s="11"/>
      <c r="F57" s="11"/>
      <c r="G57" s="11"/>
    </row>
    <row r="58" spans="2:15" x14ac:dyDescent="0.35">
      <c r="C58" t="s">
        <v>9</v>
      </c>
      <c r="D58" t="s">
        <v>15</v>
      </c>
      <c r="E58" t="s">
        <v>22</v>
      </c>
      <c r="F58" t="s">
        <v>16</v>
      </c>
      <c r="G58" t="s">
        <v>17</v>
      </c>
      <c r="H58" t="s">
        <v>18</v>
      </c>
      <c r="I58" t="s">
        <v>13</v>
      </c>
      <c r="J58" t="s">
        <v>19</v>
      </c>
      <c r="K58" t="s">
        <v>20</v>
      </c>
      <c r="L58" t="s">
        <v>21</v>
      </c>
      <c r="N58" t="s">
        <v>29</v>
      </c>
      <c r="O58" t="s">
        <v>27</v>
      </c>
    </row>
    <row r="59" spans="2:15" x14ac:dyDescent="0.35">
      <c r="B59">
        <v>2020</v>
      </c>
      <c r="C59" s="1">
        <f>AVERAGE(D59:L59)</f>
        <v>14.440000000000001</v>
      </c>
      <c r="D59" s="1">
        <f>D40-D50</f>
        <v>9.990000000000002</v>
      </c>
      <c r="E59" s="1">
        <f t="shared" ref="E59:L59" si="17">E40-E50</f>
        <v>12.719999999999999</v>
      </c>
      <c r="F59" s="1">
        <f t="shared" si="17"/>
        <v>12.780000000000001</v>
      </c>
      <c r="G59" s="1">
        <f t="shared" si="17"/>
        <v>11.86</v>
      </c>
      <c r="H59" s="1">
        <f t="shared" si="17"/>
        <v>13.46</v>
      </c>
      <c r="I59" s="1">
        <f t="shared" si="17"/>
        <v>16.27</v>
      </c>
      <c r="J59" s="1">
        <f t="shared" si="17"/>
        <v>18.559999999999999</v>
      </c>
      <c r="K59" s="1">
        <f t="shared" si="17"/>
        <v>18.559999999999999</v>
      </c>
      <c r="L59" s="1">
        <f t="shared" si="17"/>
        <v>15.760000000000002</v>
      </c>
      <c r="M59" s="1"/>
      <c r="N59" s="1">
        <f t="shared" ref="N59:N64" si="18">C59+(C67/2)</f>
        <v>15.941805163794559</v>
      </c>
      <c r="O59" s="1">
        <f t="shared" ref="O59:O64" si="19">C59-(C67/2)</f>
        <v>12.938194836205444</v>
      </c>
    </row>
    <row r="60" spans="2:15" x14ac:dyDescent="0.35">
      <c r="B60">
        <v>2021</v>
      </c>
      <c r="C60" s="1">
        <f t="shared" ref="C60:C64" si="20">AVERAGE(D60:L60)</f>
        <v>12.39111111111111</v>
      </c>
      <c r="D60" s="1">
        <f t="shared" ref="D60:L60" si="21">D41-D51</f>
        <v>10.649999999999999</v>
      </c>
      <c r="E60" s="1">
        <f t="shared" si="21"/>
        <v>12.870000000000001</v>
      </c>
      <c r="F60" s="1">
        <f t="shared" si="21"/>
        <v>10.98</v>
      </c>
      <c r="G60" s="1">
        <f t="shared" si="21"/>
        <v>11.86</v>
      </c>
      <c r="H60" s="1">
        <f t="shared" si="21"/>
        <v>13.46</v>
      </c>
      <c r="I60" s="1">
        <f t="shared" si="21"/>
        <v>11.500000000000002</v>
      </c>
      <c r="J60" s="1">
        <f t="shared" si="21"/>
        <v>12.209999999999999</v>
      </c>
      <c r="K60" s="1">
        <f t="shared" si="21"/>
        <v>12.209999999999999</v>
      </c>
      <c r="L60" s="1">
        <f t="shared" si="21"/>
        <v>15.780000000000001</v>
      </c>
      <c r="M60" s="1"/>
      <c r="N60" s="1">
        <f t="shared" si="18"/>
        <v>13.162086323279297</v>
      </c>
      <c r="O60" s="1">
        <f t="shared" si="19"/>
        <v>11.620135898942923</v>
      </c>
    </row>
    <row r="61" spans="2:15" x14ac:dyDescent="0.35">
      <c r="B61">
        <v>2022</v>
      </c>
      <c r="C61" s="1">
        <f>AVERAGE(D61:M61)</f>
        <v>12.64</v>
      </c>
      <c r="D61" s="1">
        <f t="shared" ref="D61:L61" si="22">D42-D52</f>
        <v>11.59</v>
      </c>
      <c r="E61" s="1">
        <f t="shared" si="22"/>
        <v>11.71</v>
      </c>
      <c r="F61" s="1">
        <f t="shared" si="22"/>
        <v>11.850000000000001</v>
      </c>
      <c r="G61" s="1">
        <f t="shared" si="22"/>
        <v>11.86</v>
      </c>
      <c r="H61" s="1">
        <f t="shared" si="22"/>
        <v>13.46</v>
      </c>
      <c r="I61" s="1"/>
      <c r="J61" s="1"/>
      <c r="K61" s="1"/>
      <c r="L61" s="1">
        <f t="shared" si="22"/>
        <v>15.37</v>
      </c>
      <c r="M61" s="1"/>
      <c r="N61" s="1">
        <f t="shared" si="18"/>
        <v>13.392502491690227</v>
      </c>
      <c r="O61" s="1">
        <f t="shared" si="19"/>
        <v>11.887497508309774</v>
      </c>
    </row>
    <row r="62" spans="2:15" x14ac:dyDescent="0.35">
      <c r="B62">
        <v>2023</v>
      </c>
      <c r="C62" s="1">
        <f t="shared" si="20"/>
        <v>14.516666666666667</v>
      </c>
      <c r="D62" s="1">
        <f t="shared" ref="D62:L62" si="23">D43-D53</f>
        <v>14.350000000000001</v>
      </c>
      <c r="E62" s="1">
        <f t="shared" si="23"/>
        <v>13.659999999999997</v>
      </c>
      <c r="F62" s="1">
        <f t="shared" si="23"/>
        <v>13.149999999999999</v>
      </c>
      <c r="G62" s="1">
        <f t="shared" si="23"/>
        <v>10.900000000000002</v>
      </c>
      <c r="H62" s="1">
        <f t="shared" si="23"/>
        <v>12.5</v>
      </c>
      <c r="I62" s="1">
        <f t="shared" si="23"/>
        <v>16.57</v>
      </c>
      <c r="J62" s="1">
        <f t="shared" si="23"/>
        <v>16.14</v>
      </c>
      <c r="K62" s="1">
        <f t="shared" si="23"/>
        <v>16.14</v>
      </c>
      <c r="L62" s="1">
        <f t="shared" si="23"/>
        <v>17.239999999999998</v>
      </c>
      <c r="M62" s="1"/>
      <c r="N62" s="1">
        <f t="shared" si="18"/>
        <v>15.587294403090493</v>
      </c>
      <c r="O62" s="1">
        <f t="shared" si="19"/>
        <v>13.446038930242842</v>
      </c>
    </row>
    <row r="63" spans="2:15" x14ac:dyDescent="0.35">
      <c r="B63">
        <v>2024</v>
      </c>
      <c r="C63" s="1">
        <f t="shared" si="20"/>
        <v>19.39222222222222</v>
      </c>
      <c r="D63" s="1">
        <f t="shared" ref="D63:L63" si="24">D44-D54</f>
        <v>16.41</v>
      </c>
      <c r="E63" s="1">
        <f t="shared" si="24"/>
        <v>14.949999999999996</v>
      </c>
      <c r="F63" s="1">
        <f t="shared" si="24"/>
        <v>14.14</v>
      </c>
      <c r="G63" s="1">
        <f t="shared" si="24"/>
        <v>17.95</v>
      </c>
      <c r="H63" s="1">
        <f t="shared" si="24"/>
        <v>19.55</v>
      </c>
      <c r="I63" s="1">
        <f t="shared" si="24"/>
        <v>24.66</v>
      </c>
      <c r="J63" s="1">
        <f t="shared" si="24"/>
        <v>23.48</v>
      </c>
      <c r="K63" s="1">
        <f t="shared" si="24"/>
        <v>23.48</v>
      </c>
      <c r="L63" s="1">
        <f t="shared" si="24"/>
        <v>19.909999999999997</v>
      </c>
      <c r="M63" s="1"/>
      <c r="N63" s="1">
        <f t="shared" si="18"/>
        <v>21.326737306451637</v>
      </c>
      <c r="O63" s="1">
        <f t="shared" si="19"/>
        <v>17.457707137992802</v>
      </c>
    </row>
    <row r="64" spans="2:15" x14ac:dyDescent="0.35">
      <c r="B64">
        <v>2025</v>
      </c>
      <c r="C64" s="1">
        <f t="shared" si="20"/>
        <v>18.827777777777776</v>
      </c>
      <c r="D64" s="1">
        <f t="shared" ref="D64:L64" si="25">D45-D55</f>
        <v>17.330000000000002</v>
      </c>
      <c r="E64" s="1">
        <f t="shared" si="25"/>
        <v>21.11</v>
      </c>
      <c r="F64" s="1">
        <f t="shared" si="25"/>
        <v>14.040000000000001</v>
      </c>
      <c r="G64" s="1">
        <f t="shared" si="25"/>
        <v>17.989999999999998</v>
      </c>
      <c r="H64" s="1">
        <f t="shared" si="25"/>
        <v>19.59</v>
      </c>
      <c r="I64" s="1">
        <f t="shared" si="25"/>
        <v>20.57</v>
      </c>
      <c r="J64" s="1">
        <f t="shared" si="25"/>
        <v>18.190000000000001</v>
      </c>
      <c r="K64" s="1">
        <f t="shared" si="25"/>
        <v>18.59</v>
      </c>
      <c r="L64" s="1">
        <f t="shared" si="25"/>
        <v>22.04</v>
      </c>
      <c r="M64" s="1"/>
      <c r="N64" s="1">
        <f t="shared" si="18"/>
        <v>20.019868320107143</v>
      </c>
      <c r="O64" s="1">
        <f t="shared" si="19"/>
        <v>17.635687235448408</v>
      </c>
    </row>
    <row r="65" spans="2:15" x14ac:dyDescent="0.35">
      <c r="O65" s="1"/>
    </row>
    <row r="66" spans="2:15" x14ac:dyDescent="0.35">
      <c r="C66" t="s">
        <v>28</v>
      </c>
    </row>
    <row r="67" spans="2:15" x14ac:dyDescent="0.35">
      <c r="B67">
        <v>2020</v>
      </c>
      <c r="C67" s="1">
        <f t="shared" ref="C67:C72" si="26">_xlfn.STDEV.S(D59:M59)</f>
        <v>3.0036103275891146</v>
      </c>
    </row>
    <row r="68" spans="2:15" x14ac:dyDescent="0.35">
      <c r="B68">
        <v>2021</v>
      </c>
      <c r="C68" s="1">
        <f t="shared" si="26"/>
        <v>1.5419504243363733</v>
      </c>
    </row>
    <row r="69" spans="2:15" x14ac:dyDescent="0.35">
      <c r="B69">
        <v>2022</v>
      </c>
      <c r="C69" s="1">
        <f t="shared" si="26"/>
        <v>1.5050049833804535</v>
      </c>
    </row>
    <row r="70" spans="2:15" x14ac:dyDescent="0.35">
      <c r="B70">
        <v>2023</v>
      </c>
      <c r="C70" s="1">
        <f t="shared" si="26"/>
        <v>2.1412554728476501</v>
      </c>
    </row>
    <row r="71" spans="2:15" x14ac:dyDescent="0.35">
      <c r="B71">
        <v>2024</v>
      </c>
      <c r="C71" s="1">
        <f t="shared" si="26"/>
        <v>3.8690301684588371</v>
      </c>
    </row>
    <row r="72" spans="2:15" x14ac:dyDescent="0.35">
      <c r="B72">
        <v>2025</v>
      </c>
      <c r="C72" s="1">
        <f t="shared" si="26"/>
        <v>2.3841810846587341</v>
      </c>
    </row>
    <row r="76" spans="2:15" x14ac:dyDescent="0.35">
      <c r="C76" t="s">
        <v>33</v>
      </c>
    </row>
    <row r="77" spans="2:15" x14ac:dyDescent="0.35">
      <c r="C77" s="5">
        <f>(C64-C59)/C59</f>
        <v>0.30386272699292066</v>
      </c>
    </row>
  </sheetData>
  <mergeCells count="4">
    <mergeCell ref="B47:G47"/>
    <mergeCell ref="B37:G37"/>
    <mergeCell ref="B57:G57"/>
    <mergeCell ref="I23:I25"/>
  </mergeCells>
  <conditionalFormatting sqref="H21:H32">
    <cfRule type="cellIs" dxfId="1" priority="1" operator="greaterThan">
      <formula>0</formula>
    </cfRule>
    <cfRule type="cellIs" dxfId="0" priority="2" operator="lessThan">
      <formula>0</formula>
    </cfRule>
  </conditionalFormatting>
  <hyperlinks>
    <hyperlink ref="C38" r:id="rId1" xr:uid="{D01D40B5-7E53-4414-84A8-6C5CA2E9FCAB}"/>
    <hyperlink ref="C48" r:id="rId2" xr:uid="{7060B462-E8A8-4A61-8EE6-897FDF435BCD}"/>
  </hyperlinks>
  <pageMargins left="0.7" right="0.7" top="0.75" bottom="0.75" header="0.3" footer="0.3"/>
  <pageSetup paperSize="9" orientation="portrait" verticalDpi="0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bea87-b79a-46df-81a5-d3d64f8d601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3AD443EDDF914888494C8524CB6E3E" ma:contentTypeVersion="12" ma:contentTypeDescription="Crée un document." ma:contentTypeScope="" ma:versionID="c6d94fec28a6916f9f194e2585cd05c9">
  <xsd:schema xmlns:xsd="http://www.w3.org/2001/XMLSchema" xmlns:xs="http://www.w3.org/2001/XMLSchema" xmlns:p="http://schemas.microsoft.com/office/2006/metadata/properties" xmlns:ns2="98cbea87-b79a-46df-81a5-d3d64f8d601a" targetNamespace="http://schemas.microsoft.com/office/2006/metadata/properties" ma:root="true" ma:fieldsID="b76826700120d36e71268f82502842fa" ns2:_="">
    <xsd:import namespace="98cbea87-b79a-46df-81a5-d3d64f8d60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bea87-b79a-46df-81a5-d3d64f8d60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43904d62-a6d3-43f8-8829-164785f195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AB364E-E4F7-421E-8B40-8829F7BD5BD0}">
  <ds:schemaRefs>
    <ds:schemaRef ds:uri="http://schemas.microsoft.com/office/2006/metadata/properties"/>
    <ds:schemaRef ds:uri="http://schemas.microsoft.com/office/infopath/2007/PartnerControls"/>
    <ds:schemaRef ds:uri="98cbea87-b79a-46df-81a5-d3d64f8d601a"/>
  </ds:schemaRefs>
</ds:datastoreItem>
</file>

<file path=customXml/itemProps2.xml><?xml version="1.0" encoding="utf-8"?>
<ds:datastoreItem xmlns:ds="http://schemas.openxmlformats.org/officeDocument/2006/customXml" ds:itemID="{DCDA997E-CA9F-4ED3-BD5D-B3F392E53C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2EBD39-8C94-434D-A88F-4A2B926856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cbea87-b79a-46df-81a5-d3d64f8d60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Average GRD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Staub</dc:creator>
  <cp:lastModifiedBy>informatique INGTECH</cp:lastModifiedBy>
  <dcterms:created xsi:type="dcterms:W3CDTF">2025-07-28T11:37:14Z</dcterms:created>
  <dcterms:modified xsi:type="dcterms:W3CDTF">2026-01-14T07:28:58Z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0x010100383AD443EDDF914888494C8524CB6E3E</vt:lpwstr>
  </property>
  <property fmtid="{D5CDD505-2E9C-101B-9397-08002B2CF9AE}" pid="3" name="MediaServiceImageTags">
    <vt:lpwstr/>
  </property>
</Properties>
</file>