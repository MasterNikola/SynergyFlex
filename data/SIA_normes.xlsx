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TM\SynergyFlex\data\"/>
    </mc:Choice>
  </mc:AlternateContent>
  <xr:revisionPtr revIDLastSave="0" documentId="13_ncr:1_{E016EF44-C8CD-4A4A-A8B6-664C74F3CA10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Electrical requirements" sheetId="1" r:id="rId1"/>
    <sheet name="Thermical requir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<sst xmlns="http://schemas.openxmlformats.org/spreadsheetml/2006/main" count="57" uniqueCount="31">
  <si>
    <t>Ouvrage</t>
  </si>
  <si>
    <t>Besoin d'électricité par année MJ/m2</t>
  </si>
  <si>
    <t>Besoin d'électricité par année kWh/m2</t>
  </si>
  <si>
    <t>Numéro d'ouvrage</t>
  </si>
  <si>
    <t>Facteur de réduction des besoins d'électricité</t>
  </si>
  <si>
    <t>I</t>
  </si>
  <si>
    <t>II</t>
  </si>
  <si>
    <t>III</t>
  </si>
  <si>
    <t>IV</t>
  </si>
  <si>
    <t>V</t>
  </si>
  <si>
    <t>VII</t>
  </si>
  <si>
    <t>VIII</t>
  </si>
  <si>
    <t>IX</t>
  </si>
  <si>
    <t>X</t>
  </si>
  <si>
    <t>XI</t>
  </si>
  <si>
    <t>XII</t>
  </si>
  <si>
    <t>habitat collectif</t>
  </si>
  <si>
    <t>habitat individuel</t>
  </si>
  <si>
    <t>administration</t>
  </si>
  <si>
    <t>écoles</t>
  </si>
  <si>
    <t>commerce</t>
  </si>
  <si>
    <t>restauration</t>
  </si>
  <si>
    <t>lieux de rassemblement</t>
  </si>
  <si>
    <t>hôpitaux</t>
  </si>
  <si>
    <t>industrie</t>
  </si>
  <si>
    <t>dépôts</t>
  </si>
  <si>
    <t>installations sportives</t>
  </si>
  <si>
    <t>VI</t>
  </si>
  <si>
    <t>pisicnes couvertes</t>
  </si>
  <si>
    <t>QH,li0 kWh/an</t>
  </si>
  <si>
    <t>deltaQH,li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</si>
</sst>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FEE2F-6D8C-442E-8721-CE7E16B8AA14}" name="Tableau1" displayName="Tableau1" ref="A1:E13" totalsRowShown="0">
  <autoFilter ref="A1:E13" xr:uid="{300FEE2F-6D8C-442E-8721-CE7E16B8AA14}"/>
  <tableColumns count="5">
    <tableColumn id="1" xr3:uid="{9EC914A8-89C6-4E83-86C8-9C37A4B5A49E}" name="Numéro d'ouvrage"/>
    <tableColumn id="2" xr3:uid="{19234E02-9227-409C-A6CC-721D797CD783}" name="Ouvrage"/>
    <tableColumn id="3" xr3:uid="{8406ACC3-A24F-45B0-BB3A-1B0B1F92F1EB}" name="Besoin d'électricité par année MJ/m2"/>
    <tableColumn id="4" xr3:uid="{BA24D0EA-1865-4A3D-A757-45298EB81F5A}" name="Besoin d'électricité par année kWh/m2" dataDxfId="0">
      <calculatedColumnFormula>C2/3.6</calculatedColumnFormula>
    </tableColumn>
    <tableColumn id="5" xr3:uid="{9FFCC083-C590-4E75-9B66-C79C0933F14E}" name="Facteur de réduction des besoins d'électricit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5D5805-EC73-47C1-935C-38364B9EEBC2}" name="Tableau2" displayName="Tableau2" ref="A1:D13" totalsRowShown="0">
  <autoFilter ref="A1:D13" xr:uid="{6B5D5805-EC73-47C1-935C-38364B9EEBC2}"/>
  <tableColumns count="4">
    <tableColumn id="1" xr3:uid="{F9692C52-93FE-4295-A4BF-BFAF4399213A}" name="Numéro d'ouvrage"/>
    <tableColumn id="2" xr3:uid="{908D9920-F18B-45F4-A3E7-43BAD177FD2A}" name="Ouvrage"/>
    <tableColumn id="3" xr3:uid="{6F4487B3-0771-4BE8-9DB5-7464D47E466F}" name="QH,li0 kWh/an"/>
    <tableColumn id="4" xr3:uid="{076EC470-7EFE-477D-B4FD-6DA94B9F86A2}" name="deltaQH,li kW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sqref="A1:B13"/>
    </sheetView>
  </sheetViews>
  <sheetFormatPr baseColWidth="10" defaultColWidth="8.7265625" defaultRowHeight="14.5" x14ac:dyDescent="0.35"/>
  <cols>
    <col min="1" max="1" width="18.36328125" customWidth="1"/>
    <col min="2" max="2" width="20.7265625" bestFit="1" customWidth="1"/>
    <col min="3" max="3" width="33.7265625" customWidth="1"/>
    <col min="4" max="4" width="35.26953125" customWidth="1"/>
    <col min="5" max="5" width="40.54296875" customWidth="1"/>
  </cols>
  <sheetData>
    <row r="1" spans="1:5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5">
      <c r="A2" t="s">
        <v>5</v>
      </c>
      <c r="B2" t="s">
        <v>16</v>
      </c>
      <c r="C2">
        <v>100</v>
      </c>
      <c r="D2" s="1">
        <f>C2/3.6</f>
        <v>27.777777777777779</v>
      </c>
      <c r="E2">
        <v>0.7</v>
      </c>
    </row>
    <row r="3" spans="1:5" x14ac:dyDescent="0.35">
      <c r="A3" t="s">
        <v>6</v>
      </c>
      <c r="B3" t="s">
        <v>17</v>
      </c>
      <c r="C3">
        <v>80</v>
      </c>
      <c r="D3" s="1">
        <f t="shared" ref="D3:D13" si="0">C3/3.6</f>
        <v>22.222222222222221</v>
      </c>
      <c r="E3">
        <v>0.7</v>
      </c>
    </row>
    <row r="4" spans="1:5" x14ac:dyDescent="0.35">
      <c r="A4" t="s">
        <v>7</v>
      </c>
      <c r="B4" t="s">
        <v>18</v>
      </c>
      <c r="C4">
        <v>80</v>
      </c>
      <c r="D4" s="1">
        <f t="shared" si="0"/>
        <v>22.222222222222221</v>
      </c>
      <c r="E4">
        <v>0.9</v>
      </c>
    </row>
    <row r="5" spans="1:5" x14ac:dyDescent="0.35">
      <c r="A5" t="s">
        <v>8</v>
      </c>
      <c r="B5" t="s">
        <v>19</v>
      </c>
      <c r="C5">
        <v>40</v>
      </c>
      <c r="D5" s="1">
        <f t="shared" si="0"/>
        <v>11.111111111111111</v>
      </c>
      <c r="E5">
        <v>0.9</v>
      </c>
    </row>
    <row r="6" spans="1:5" x14ac:dyDescent="0.35">
      <c r="A6" t="s">
        <v>9</v>
      </c>
      <c r="B6" t="s">
        <v>20</v>
      </c>
      <c r="C6">
        <v>120</v>
      </c>
      <c r="D6" s="1">
        <f t="shared" si="0"/>
        <v>33.333333333333336</v>
      </c>
      <c r="E6">
        <v>0.8</v>
      </c>
    </row>
    <row r="7" spans="1:5" x14ac:dyDescent="0.35">
      <c r="A7" t="s">
        <v>27</v>
      </c>
      <c r="B7" t="s">
        <v>21</v>
      </c>
      <c r="C7">
        <v>120</v>
      </c>
      <c r="D7" s="1">
        <f t="shared" si="0"/>
        <v>33.333333333333336</v>
      </c>
      <c r="E7">
        <v>0.7</v>
      </c>
    </row>
    <row r="8" spans="1:5" x14ac:dyDescent="0.35">
      <c r="A8" t="s">
        <v>10</v>
      </c>
      <c r="B8" t="s">
        <v>22</v>
      </c>
      <c r="C8">
        <v>60</v>
      </c>
      <c r="D8" s="1">
        <f t="shared" si="0"/>
        <v>16.666666666666668</v>
      </c>
      <c r="E8">
        <v>0.7</v>
      </c>
    </row>
    <row r="9" spans="1:5" x14ac:dyDescent="0.35">
      <c r="A9" t="s">
        <v>11</v>
      </c>
      <c r="B9" t="s">
        <v>23</v>
      </c>
      <c r="C9">
        <v>100</v>
      </c>
      <c r="D9" s="1">
        <f t="shared" si="0"/>
        <v>27.777777777777779</v>
      </c>
      <c r="E9">
        <v>0.7</v>
      </c>
    </row>
    <row r="10" spans="1:5" x14ac:dyDescent="0.35">
      <c r="A10" t="s">
        <v>12</v>
      </c>
      <c r="B10" t="s">
        <v>24</v>
      </c>
      <c r="C10">
        <v>60</v>
      </c>
      <c r="D10" s="1">
        <f t="shared" si="0"/>
        <v>16.666666666666668</v>
      </c>
      <c r="E10">
        <v>0.9</v>
      </c>
    </row>
    <row r="11" spans="1:5" x14ac:dyDescent="0.35">
      <c r="A11" t="s">
        <v>13</v>
      </c>
      <c r="B11" t="s">
        <v>25</v>
      </c>
      <c r="C11">
        <v>20</v>
      </c>
      <c r="D11" s="1">
        <f t="shared" si="0"/>
        <v>5.5555555555555554</v>
      </c>
      <c r="E11">
        <v>0.9</v>
      </c>
    </row>
    <row r="12" spans="1:5" x14ac:dyDescent="0.35">
      <c r="A12" t="s">
        <v>14</v>
      </c>
      <c r="B12" t="s">
        <v>26</v>
      </c>
      <c r="C12">
        <v>20</v>
      </c>
      <c r="D12" s="1">
        <f t="shared" si="0"/>
        <v>5.5555555555555554</v>
      </c>
      <c r="E12">
        <v>0.9</v>
      </c>
    </row>
    <row r="13" spans="1:5" x14ac:dyDescent="0.35">
      <c r="A13" t="s">
        <v>15</v>
      </c>
      <c r="B13" t="s">
        <v>28</v>
      </c>
      <c r="C13">
        <v>200</v>
      </c>
      <c r="D13" s="1">
        <f t="shared" si="0"/>
        <v>55.555555555555557</v>
      </c>
      <c r="E13">
        <v>0.7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162A-7397-484C-9A34-05413DE35589}">
  <dimension ref="A1:D13"/>
  <sheetViews>
    <sheetView tabSelected="1" workbookViewId="0">
      <selection activeCell="H14" sqref="H14"/>
    </sheetView>
  </sheetViews>
  <sheetFormatPr baseColWidth="10" defaultRowHeight="14.5" x14ac:dyDescent="0.35"/>
  <cols>
    <col min="1" max="1" width="18.36328125" customWidth="1"/>
    <col min="3" max="3" width="15.1796875" customWidth="1"/>
    <col min="4" max="4" width="15.54296875" customWidth="1"/>
  </cols>
  <sheetData>
    <row r="1" spans="1:4" ht="16.5" x14ac:dyDescent="0.45">
      <c r="A1" t="s">
        <v>3</v>
      </c>
      <c r="B1" t="s">
        <v>0</v>
      </c>
      <c r="C1" t="s">
        <v>29</v>
      </c>
      <c r="D1" t="s">
        <v>30</v>
      </c>
    </row>
    <row r="2" spans="1:4" x14ac:dyDescent="0.35">
      <c r="A2" t="s">
        <v>5</v>
      </c>
      <c r="B2" t="s">
        <v>16</v>
      </c>
      <c r="C2">
        <v>13</v>
      </c>
      <c r="D2">
        <v>15</v>
      </c>
    </row>
    <row r="3" spans="1:4" x14ac:dyDescent="0.35">
      <c r="A3" t="s">
        <v>6</v>
      </c>
      <c r="B3" t="s">
        <v>17</v>
      </c>
      <c r="C3">
        <v>16</v>
      </c>
      <c r="D3">
        <v>15</v>
      </c>
    </row>
    <row r="4" spans="1:4" x14ac:dyDescent="0.35">
      <c r="A4" t="s">
        <v>7</v>
      </c>
      <c r="B4" t="s">
        <v>18</v>
      </c>
      <c r="C4">
        <v>13</v>
      </c>
      <c r="D4">
        <v>15</v>
      </c>
    </row>
    <row r="5" spans="1:4" x14ac:dyDescent="0.35">
      <c r="A5" t="s">
        <v>8</v>
      </c>
      <c r="B5" t="s">
        <v>19</v>
      </c>
      <c r="C5">
        <v>14</v>
      </c>
      <c r="D5">
        <v>15</v>
      </c>
    </row>
    <row r="6" spans="1:4" x14ac:dyDescent="0.35">
      <c r="A6" t="s">
        <v>9</v>
      </c>
      <c r="B6" t="s">
        <v>20</v>
      </c>
      <c r="C6">
        <v>7</v>
      </c>
      <c r="D6">
        <v>14</v>
      </c>
    </row>
    <row r="7" spans="1:4" x14ac:dyDescent="0.35">
      <c r="A7" t="s">
        <v>27</v>
      </c>
      <c r="B7" t="s">
        <v>21</v>
      </c>
      <c r="C7">
        <v>16</v>
      </c>
      <c r="D7">
        <v>15</v>
      </c>
    </row>
    <row r="8" spans="1:4" x14ac:dyDescent="0.35">
      <c r="A8" t="s">
        <v>10</v>
      </c>
      <c r="B8" t="s">
        <v>22</v>
      </c>
      <c r="C8">
        <v>18</v>
      </c>
      <c r="D8">
        <v>15</v>
      </c>
    </row>
    <row r="9" spans="1:4" x14ac:dyDescent="0.35">
      <c r="A9" t="s">
        <v>11</v>
      </c>
      <c r="B9" t="s">
        <v>23</v>
      </c>
      <c r="C9">
        <v>18</v>
      </c>
      <c r="D9">
        <v>17</v>
      </c>
    </row>
    <row r="10" spans="1:4" x14ac:dyDescent="0.35">
      <c r="A10" t="s">
        <v>12</v>
      </c>
      <c r="B10" t="s">
        <v>24</v>
      </c>
      <c r="C10">
        <v>10</v>
      </c>
      <c r="D10">
        <v>14</v>
      </c>
    </row>
    <row r="11" spans="1:4" x14ac:dyDescent="0.35">
      <c r="A11" t="s">
        <v>13</v>
      </c>
      <c r="B11" t="s">
        <v>25</v>
      </c>
      <c r="C11">
        <v>14</v>
      </c>
      <c r="D11">
        <v>14</v>
      </c>
    </row>
    <row r="12" spans="1:4" x14ac:dyDescent="0.35">
      <c r="A12" t="s">
        <v>14</v>
      </c>
      <c r="B12" t="s">
        <v>26</v>
      </c>
      <c r="C12">
        <v>16</v>
      </c>
      <c r="D12">
        <v>14</v>
      </c>
    </row>
    <row r="13" spans="1:4" x14ac:dyDescent="0.35">
      <c r="A13" t="s">
        <v>15</v>
      </c>
      <c r="B13" t="s">
        <v>28</v>
      </c>
      <c r="C13">
        <v>15</v>
      </c>
      <c r="D13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Electrical requirements</vt:lpstr>
      <vt:lpstr>Thermical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Vujic</dc:creator>
  <cp:lastModifiedBy>Nikola Vujic</cp:lastModifiedBy>
  <dcterms:created xsi:type="dcterms:W3CDTF">2015-06-05T18:19:34Z</dcterms:created>
  <dcterms:modified xsi:type="dcterms:W3CDTF">2025-11-17T08:32:30Z</dcterms:modified>
</cp:coreProperties>
</file>