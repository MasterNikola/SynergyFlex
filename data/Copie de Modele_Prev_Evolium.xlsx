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M:\TM_SynergyFlex_Nikola\SynergyFlex\data\"/>
    </mc:Choice>
  </mc:AlternateContent>
  <xr:revisionPtr revIDLastSave="0" documentId="13_ncr:1_{BC7F9999-E9F0-4030-B321-A535C7918F97}" xr6:coauthVersionLast="47" xr6:coauthVersionMax="47" xr10:uidLastSave="{00000000-0000-0000-0000-000000000000}"/>
  <bookViews>
    <workbookView xWindow="-110" yWindow="-110" windowWidth="38620" windowHeight="21100" activeTab="11" xr2:uid="{029D60AA-AD19-47CC-B1A9-A14706732E36}"/>
  </bookViews>
  <sheets>
    <sheet name="Feuil1" sheetId="10" r:id="rId1"/>
    <sheet name="Feuil2" sheetId="11" r:id="rId2"/>
    <sheet name="Feuil3" sheetId="12" r:id="rId3"/>
    <sheet name="Feuil4" sheetId="13" r:id="rId4"/>
    <sheet name="Feuil5" sheetId="14" r:id="rId5"/>
    <sheet name="Feuil6" sheetId="15" r:id="rId6"/>
    <sheet name="Feuil7" sheetId="16" r:id="rId7"/>
    <sheet name="Feuil8" sheetId="17" r:id="rId8"/>
    <sheet name="Feuil11" sheetId="20" r:id="rId9"/>
    <sheet name="Feuil12" sheetId="21" r:id="rId10"/>
    <sheet name="Feuil13" sheetId="22" r:id="rId11"/>
    <sheet name="Feuil14" sheetId="23" r:id="rId12"/>
    <sheet name="Average GRD" sheetId="9" r:id="rId13"/>
    <sheet name="Feuil9" sheetId="18" r:id="rId14"/>
    <sheet name="Feuil10" sheetId="19" r:id="rId15"/>
  </sheet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3" l="1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27" i="23"/>
  <c r="J18" i="23"/>
  <c r="J19" i="23"/>
  <c r="J20" i="23"/>
  <c r="J21" i="23"/>
  <c r="J22" i="23"/>
  <c r="J23" i="23"/>
  <c r="J24" i="23"/>
  <c r="J25" i="23"/>
  <c r="J26" i="23"/>
  <c r="I18" i="23"/>
  <c r="I19" i="23"/>
  <c r="I20" i="23"/>
  <c r="I21" i="23"/>
  <c r="I22" i="23"/>
  <c r="I23" i="23"/>
  <c r="I24" i="23"/>
  <c r="I25" i="23"/>
  <c r="I26" i="23"/>
  <c r="H18" i="23"/>
  <c r="H19" i="23"/>
  <c r="H20" i="23"/>
  <c r="H21" i="23"/>
  <c r="H22" i="23"/>
  <c r="H23" i="23"/>
  <c r="H24" i="23"/>
  <c r="H25" i="23"/>
  <c r="H26" i="23"/>
  <c r="G18" i="23"/>
  <c r="G19" i="23"/>
  <c r="G20" i="23"/>
  <c r="G21" i="23"/>
  <c r="G22" i="23"/>
  <c r="G23" i="23"/>
  <c r="G24" i="23"/>
  <c r="G25" i="23"/>
  <c r="G26" i="23"/>
  <c r="J17" i="23"/>
  <c r="I17" i="23"/>
  <c r="H17" i="23"/>
  <c r="G17" i="23"/>
  <c r="F18" i="23"/>
  <c r="F19" i="23"/>
  <c r="F20" i="23"/>
  <c r="F21" i="23"/>
  <c r="F22" i="23"/>
  <c r="F23" i="23"/>
  <c r="F24" i="23"/>
  <c r="F25" i="23"/>
  <c r="F26" i="23"/>
  <c r="J16" i="23"/>
  <c r="I16" i="23"/>
  <c r="H16" i="23"/>
  <c r="G16" i="23"/>
  <c r="F16" i="23"/>
  <c r="E34" i="9"/>
  <c r="C34" i="9" s="1"/>
  <c r="F34" i="9"/>
  <c r="H34" i="9" s="1"/>
  <c r="G34" i="9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17" i="20"/>
  <c r="F16" i="20"/>
  <c r="E33" i="9"/>
  <c r="C33" i="9" s="1"/>
  <c r="F33" i="9"/>
  <c r="G33" i="9"/>
  <c r="H33" i="9"/>
  <c r="AN31" i="9"/>
  <c r="AN32" i="9"/>
  <c r="AN36" i="9"/>
  <c r="AN37" i="9"/>
  <c r="AN38" i="9"/>
  <c r="AN39" i="9"/>
  <c r="AN40" i="9"/>
  <c r="AN41" i="9"/>
  <c r="AN42" i="9"/>
  <c r="AN43" i="9"/>
  <c r="AN44" i="9"/>
  <c r="AN30" i="9"/>
  <c r="AC29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30" i="9"/>
  <c r="Z31" i="9"/>
  <c r="Z32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29" i="9"/>
  <c r="AA30" i="9"/>
  <c r="AA31" i="9"/>
  <c r="AA32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29" i="9"/>
  <c r="AB30" i="9"/>
  <c r="AB31" i="9"/>
  <c r="AB32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29" i="9"/>
  <c r="B8" i="9"/>
  <c r="B10" i="9" s="1"/>
  <c r="B6" i="9"/>
  <c r="C43" i="9"/>
  <c r="C16" i="9" s="1"/>
  <c r="C44" i="9"/>
  <c r="C17" i="9" s="1"/>
  <c r="C45" i="9"/>
  <c r="C46" i="9"/>
  <c r="C19" i="9" s="1"/>
  <c r="C47" i="9"/>
  <c r="C20" i="9" s="1"/>
  <c r="C48" i="9"/>
  <c r="C21" i="9" s="1"/>
  <c r="D63" i="9"/>
  <c r="D64" i="9"/>
  <c r="D65" i="9"/>
  <c r="D66" i="9"/>
  <c r="D67" i="9"/>
  <c r="F67" i="9"/>
  <c r="F62" i="9"/>
  <c r="D62" i="9"/>
  <c r="L58" i="9"/>
  <c r="L67" i="9" s="1"/>
  <c r="L57" i="9"/>
  <c r="L66" i="9" s="1"/>
  <c r="L56" i="9"/>
  <c r="L65" i="9" s="1"/>
  <c r="L55" i="9"/>
  <c r="L64" i="9" s="1"/>
  <c r="L54" i="9"/>
  <c r="L63" i="9" s="1"/>
  <c r="L53" i="9"/>
  <c r="L62" i="9" s="1"/>
  <c r="K53" i="9"/>
  <c r="K62" i="9" s="1"/>
  <c r="K54" i="9"/>
  <c r="K63" i="9" s="1"/>
  <c r="K56" i="9"/>
  <c r="K65" i="9" s="1"/>
  <c r="K57" i="9"/>
  <c r="K66" i="9" s="1"/>
  <c r="K58" i="9"/>
  <c r="K67" i="9" s="1"/>
  <c r="J53" i="9"/>
  <c r="J62" i="9" s="1"/>
  <c r="H53" i="9"/>
  <c r="H62" i="9" s="1"/>
  <c r="H54" i="9"/>
  <c r="H63" i="9" s="1"/>
  <c r="H55" i="9"/>
  <c r="H64" i="9" s="1"/>
  <c r="H56" i="9"/>
  <c r="H65" i="9" s="1"/>
  <c r="H57" i="9"/>
  <c r="H66" i="9" s="1"/>
  <c r="H58" i="9"/>
  <c r="H67" i="9" s="1"/>
  <c r="I58" i="9"/>
  <c r="I67" i="9" s="1"/>
  <c r="I57" i="9"/>
  <c r="I66" i="9" s="1"/>
  <c r="I56" i="9"/>
  <c r="I65" i="9" s="1"/>
  <c r="I54" i="9"/>
  <c r="I63" i="9" s="1"/>
  <c r="I53" i="9"/>
  <c r="I62" i="9" s="1"/>
  <c r="F57" i="9"/>
  <c r="F66" i="9" s="1"/>
  <c r="F56" i="9"/>
  <c r="F65" i="9" s="1"/>
  <c r="F55" i="9"/>
  <c r="F64" i="9" s="1"/>
  <c r="F54" i="9"/>
  <c r="F63" i="9" s="1"/>
  <c r="J58" i="9"/>
  <c r="J67" i="9" s="1"/>
  <c r="J57" i="9"/>
  <c r="J66" i="9" s="1"/>
  <c r="J56" i="9"/>
  <c r="J65" i="9" s="1"/>
  <c r="J54" i="9"/>
  <c r="J63" i="9" s="1"/>
  <c r="G58" i="9"/>
  <c r="G67" i="9" s="1"/>
  <c r="G57" i="9"/>
  <c r="G66" i="9" s="1"/>
  <c r="G56" i="9"/>
  <c r="G65" i="9" s="1"/>
  <c r="G55" i="9"/>
  <c r="G54" i="9"/>
  <c r="G63" i="9" s="1"/>
  <c r="G53" i="9"/>
  <c r="G62" i="9" s="1"/>
  <c r="E58" i="9"/>
  <c r="E67" i="9" s="1"/>
  <c r="E57" i="9"/>
  <c r="E66" i="9" s="1"/>
  <c r="E56" i="9"/>
  <c r="E65" i="9" s="1"/>
  <c r="E55" i="9"/>
  <c r="E64" i="9" s="1"/>
  <c r="E54" i="9"/>
  <c r="E63" i="9" s="1"/>
  <c r="E53" i="9"/>
  <c r="E62" i="9" s="1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C17" i="20"/>
  <c r="C49" i="20"/>
  <c r="C38" i="20"/>
  <c r="C43" i="20"/>
  <c r="C45" i="20"/>
  <c r="C47" i="20"/>
  <c r="C18" i="20"/>
  <c r="C50" i="20"/>
  <c r="C19" i="20"/>
  <c r="C51" i="20"/>
  <c r="C20" i="20"/>
  <c r="C52" i="20"/>
  <c r="C21" i="20"/>
  <c r="C53" i="20"/>
  <c r="C22" i="20"/>
  <c r="C23" i="20"/>
  <c r="C55" i="20"/>
  <c r="C24" i="20"/>
  <c r="C56" i="20"/>
  <c r="C25" i="20"/>
  <c r="C57" i="20"/>
  <c r="C26" i="20"/>
  <c r="C39" i="20"/>
  <c r="C44" i="20"/>
  <c r="C46" i="20"/>
  <c r="C54" i="20"/>
  <c r="C58" i="20"/>
  <c r="C40" i="20"/>
  <c r="C48" i="20"/>
  <c r="C27" i="20"/>
  <c r="C59" i="20"/>
  <c r="C28" i="20"/>
  <c r="C60" i="20"/>
  <c r="C29" i="20"/>
  <c r="C61" i="20"/>
  <c r="C30" i="20"/>
  <c r="C62" i="20"/>
  <c r="C31" i="20"/>
  <c r="C63" i="20"/>
  <c r="C32" i="20"/>
  <c r="C64" i="20"/>
  <c r="C33" i="20"/>
  <c r="C65" i="20"/>
  <c r="C34" i="20"/>
  <c r="C66" i="20"/>
  <c r="C35" i="20"/>
  <c r="C67" i="20"/>
  <c r="C36" i="20"/>
  <c r="C37" i="20"/>
  <c r="C41" i="20"/>
  <c r="C42" i="20"/>
  <c r="C18" i="17"/>
  <c r="C50" i="17"/>
  <c r="C19" i="17"/>
  <c r="C51" i="17"/>
  <c r="C54" i="17"/>
  <c r="C23" i="17"/>
  <c r="C56" i="17"/>
  <c r="C57" i="17"/>
  <c r="C26" i="17"/>
  <c r="C27" i="17"/>
  <c r="C28" i="17"/>
  <c r="C61" i="17"/>
  <c r="C30" i="17"/>
  <c r="C31" i="17"/>
  <c r="C64" i="17"/>
  <c r="C65" i="17"/>
  <c r="C66" i="17"/>
  <c r="C67" i="17"/>
  <c r="C36" i="17"/>
  <c r="C37" i="17"/>
  <c r="C39" i="17"/>
  <c r="C46" i="17"/>
  <c r="C49" i="17"/>
  <c r="C34" i="17"/>
  <c r="C38" i="17"/>
  <c r="C41" i="17"/>
  <c r="C43" i="17"/>
  <c r="C20" i="17"/>
  <c r="C52" i="17"/>
  <c r="C21" i="17"/>
  <c r="C53" i="17"/>
  <c r="C22" i="17"/>
  <c r="C55" i="17"/>
  <c r="C24" i="17"/>
  <c r="C25" i="17"/>
  <c r="C58" i="17"/>
  <c r="C59" i="17"/>
  <c r="C60" i="17"/>
  <c r="C29" i="17"/>
  <c r="C62" i="17"/>
  <c r="C63" i="17"/>
  <c r="C32" i="17"/>
  <c r="C33" i="17"/>
  <c r="C35" i="17"/>
  <c r="C40" i="17"/>
  <c r="C42" i="17"/>
  <c r="C44" i="17"/>
  <c r="C45" i="17"/>
  <c r="C47" i="17"/>
  <c r="C48" i="17"/>
  <c r="C17" i="16"/>
  <c r="C49" i="16"/>
  <c r="C54" i="16"/>
  <c r="C56" i="16"/>
  <c r="C57" i="16"/>
  <c r="C26" i="16"/>
  <c r="C60" i="16"/>
  <c r="C30" i="16"/>
  <c r="C64" i="16"/>
  <c r="C65" i="16"/>
  <c r="C66" i="16"/>
  <c r="C35" i="16"/>
  <c r="C37" i="16"/>
  <c r="C39" i="16"/>
  <c r="C42" i="16"/>
  <c r="C44" i="16"/>
  <c r="C45" i="16"/>
  <c r="C47" i="16"/>
  <c r="C18" i="16"/>
  <c r="C50" i="16"/>
  <c r="C20" i="16"/>
  <c r="C53" i="16"/>
  <c r="C22" i="16"/>
  <c r="C55" i="16"/>
  <c r="C24" i="16"/>
  <c r="C27" i="16"/>
  <c r="C29" i="16"/>
  <c r="C31" i="16"/>
  <c r="C34" i="16"/>
  <c r="C38" i="16"/>
  <c r="C40" i="16"/>
  <c r="C46" i="16"/>
  <c r="C48" i="16"/>
  <c r="C19" i="16"/>
  <c r="C51" i="16"/>
  <c r="C52" i="16"/>
  <c r="C23" i="16"/>
  <c r="C25" i="16"/>
  <c r="C59" i="16"/>
  <c r="C61" i="16"/>
  <c r="C63" i="16"/>
  <c r="C36" i="16"/>
  <c r="C21" i="16"/>
  <c r="C58" i="16"/>
  <c r="C28" i="16"/>
  <c r="C62" i="16"/>
  <c r="C32" i="16"/>
  <c r="C33" i="16"/>
  <c r="C41" i="16"/>
  <c r="C43" i="16"/>
  <c r="C18" i="15"/>
  <c r="C50" i="15"/>
  <c r="C19" i="15"/>
  <c r="C51" i="15"/>
  <c r="C20" i="15"/>
  <c r="C52" i="15"/>
  <c r="C21" i="15"/>
  <c r="C53" i="15"/>
  <c r="C22" i="15"/>
  <c r="C54" i="15"/>
  <c r="C23" i="15"/>
  <c r="C55" i="15"/>
  <c r="C24" i="15"/>
  <c r="C25" i="15"/>
  <c r="C26" i="15"/>
  <c r="C27" i="15"/>
  <c r="C28" i="15"/>
  <c r="C29" i="15"/>
  <c r="C30" i="15"/>
  <c r="C31" i="15"/>
  <c r="C33" i="15"/>
  <c r="C34" i="15"/>
  <c r="C35" i="15"/>
  <c r="C36" i="15"/>
  <c r="C37" i="15"/>
  <c r="C38" i="15"/>
  <c r="C39" i="15"/>
  <c r="C40" i="15"/>
  <c r="C42" i="15"/>
  <c r="C43" i="15"/>
  <c r="C45" i="15"/>
  <c r="C46" i="15"/>
  <c r="C47" i="15"/>
  <c r="C48" i="15"/>
  <c r="C32" i="15"/>
  <c r="C41" i="15"/>
  <c r="C44" i="15"/>
  <c r="C49" i="15"/>
  <c r="C18" i="14"/>
  <c r="C50" i="14"/>
  <c r="C21" i="14"/>
  <c r="C23" i="14"/>
  <c r="C32" i="14"/>
  <c r="C47" i="14"/>
  <c r="C49" i="14"/>
  <c r="C19" i="14"/>
  <c r="C51" i="14"/>
  <c r="C20" i="14"/>
  <c r="C22" i="14"/>
  <c r="C30" i="14"/>
  <c r="C34" i="14"/>
  <c r="C24" i="14"/>
  <c r="C25" i="14"/>
  <c r="C26" i="14"/>
  <c r="C27" i="14"/>
  <c r="C28" i="14"/>
  <c r="C29" i="14"/>
  <c r="C31" i="14"/>
  <c r="C33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8" i="14"/>
  <c r="C46" i="13"/>
  <c r="C47" i="13"/>
  <c r="C48" i="13"/>
  <c r="C49" i="13"/>
  <c r="C50" i="13"/>
  <c r="C51" i="13"/>
  <c r="C52" i="13"/>
  <c r="C53" i="13"/>
  <c r="C54" i="13"/>
  <c r="C22" i="13"/>
  <c r="C33" i="13"/>
  <c r="C44" i="13"/>
  <c r="C34" i="13"/>
  <c r="C45" i="13"/>
  <c r="C24" i="13"/>
  <c r="C35" i="13"/>
  <c r="C25" i="13"/>
  <c r="C26" i="13"/>
  <c r="C37" i="13"/>
  <c r="C28" i="13"/>
  <c r="C39" i="13"/>
  <c r="C30" i="13"/>
  <c r="C41" i="13"/>
  <c r="C31" i="13"/>
  <c r="C42" i="13"/>
  <c r="C23" i="13"/>
  <c r="C36" i="13"/>
  <c r="C27" i="13"/>
  <c r="C38" i="13"/>
  <c r="C29" i="13"/>
  <c r="C40" i="13"/>
  <c r="C43" i="13"/>
  <c r="C32" i="13"/>
  <c r="C18" i="13"/>
  <c r="C20" i="13"/>
  <c r="C17" i="13"/>
  <c r="C19" i="13"/>
  <c r="C21" i="13"/>
  <c r="C17" i="12"/>
  <c r="C21" i="12"/>
  <c r="C23" i="12"/>
  <c r="C26" i="12"/>
  <c r="C28" i="12"/>
  <c r="C30" i="12"/>
  <c r="C32" i="12"/>
  <c r="C18" i="12"/>
  <c r="C24" i="12"/>
  <c r="C27" i="12"/>
  <c r="C33" i="12"/>
  <c r="C35" i="12"/>
  <c r="C16" i="12"/>
  <c r="C19" i="12"/>
  <c r="C20" i="12"/>
  <c r="C22" i="12"/>
  <c r="C25" i="12"/>
  <c r="C29" i="12"/>
  <c r="C31" i="12"/>
  <c r="C34" i="12"/>
  <c r="C36" i="12"/>
  <c r="C37" i="12"/>
  <c r="C16" i="11"/>
  <c r="C17" i="11"/>
  <c r="C18" i="11"/>
  <c r="C19" i="11"/>
  <c r="C10" i="10"/>
  <c r="C11" i="10"/>
  <c r="C12" i="10"/>
  <c r="C13" i="10"/>
  <c r="C14" i="10"/>
  <c r="C15" i="10"/>
  <c r="C16" i="10"/>
  <c r="C8" i="10"/>
  <c r="C17" i="10"/>
  <c r="C18" i="10"/>
  <c r="C19" i="10"/>
  <c r="C24" i="10"/>
  <c r="C25" i="10"/>
  <c r="C27" i="10"/>
  <c r="C29" i="10"/>
  <c r="C30" i="10"/>
  <c r="C32" i="10"/>
  <c r="C33" i="10"/>
  <c r="C36" i="10"/>
  <c r="C20" i="10"/>
  <c r="C21" i="10"/>
  <c r="C22" i="10"/>
  <c r="C23" i="10"/>
  <c r="C26" i="10"/>
  <c r="C28" i="10"/>
  <c r="C31" i="10"/>
  <c r="C34" i="10"/>
  <c r="C35" i="10"/>
  <c r="C9" i="10"/>
  <c r="C28" i="23"/>
  <c r="C60" i="23"/>
  <c r="C70" i="23"/>
  <c r="C77" i="23"/>
  <c r="C78" i="23"/>
  <c r="C79" i="23"/>
  <c r="C52" i="23"/>
  <c r="C55" i="23"/>
  <c r="C29" i="23"/>
  <c r="C61" i="23"/>
  <c r="C30" i="23"/>
  <c r="C62" i="23"/>
  <c r="C31" i="23"/>
  <c r="C63" i="23"/>
  <c r="C32" i="23"/>
  <c r="C64" i="23"/>
  <c r="C33" i="23"/>
  <c r="C65" i="23"/>
  <c r="C34" i="23"/>
  <c r="C66" i="23"/>
  <c r="C35" i="23"/>
  <c r="C67" i="23"/>
  <c r="C36" i="23"/>
  <c r="C68" i="23"/>
  <c r="C37" i="23"/>
  <c r="C69" i="23"/>
  <c r="C38" i="23"/>
  <c r="C39" i="23"/>
  <c r="C71" i="23"/>
  <c r="C45" i="23"/>
  <c r="C46" i="23"/>
  <c r="C47" i="23"/>
  <c r="C48" i="23"/>
  <c r="C49" i="23"/>
  <c r="C50" i="23"/>
  <c r="C51" i="23"/>
  <c r="C53" i="23"/>
  <c r="C54" i="23"/>
  <c r="C56" i="23"/>
  <c r="C57" i="23"/>
  <c r="C58" i="23"/>
  <c r="C59" i="23"/>
  <c r="C40" i="23"/>
  <c r="C72" i="23"/>
  <c r="C41" i="23"/>
  <c r="C73" i="23"/>
  <c r="C42" i="23"/>
  <c r="C74" i="23"/>
  <c r="C43" i="23"/>
  <c r="C75" i="23"/>
  <c r="C44" i="23"/>
  <c r="C76" i="23"/>
  <c r="C20" i="22"/>
  <c r="C52" i="22"/>
  <c r="C21" i="22"/>
  <c r="C53" i="22"/>
  <c r="C22" i="22"/>
  <c r="C54" i="22"/>
  <c r="C23" i="22"/>
  <c r="C55" i="22"/>
  <c r="C24" i="22"/>
  <c r="C56" i="22"/>
  <c r="C25" i="22"/>
  <c r="C57" i="22"/>
  <c r="C26" i="22"/>
  <c r="C58" i="22"/>
  <c r="C27" i="22"/>
  <c r="C59" i="22"/>
  <c r="C28" i="22"/>
  <c r="C60" i="22"/>
  <c r="C29" i="22"/>
  <c r="C61" i="22"/>
  <c r="C30" i="22"/>
  <c r="C62" i="22"/>
  <c r="C31" i="22"/>
  <c r="C63" i="22"/>
  <c r="C32" i="22"/>
  <c r="C64" i="22"/>
  <c r="C33" i="22"/>
  <c r="C65" i="22"/>
  <c r="C34" i="22"/>
  <c r="C66" i="22"/>
  <c r="C35" i="22"/>
  <c r="C67" i="22"/>
  <c r="C36" i="22"/>
  <c r="C68" i="22"/>
  <c r="C37" i="22"/>
  <c r="C69" i="22"/>
  <c r="C39" i="22"/>
  <c r="C40" i="22"/>
  <c r="C38" i="22"/>
  <c r="C70" i="22"/>
  <c r="C41" i="22"/>
  <c r="C42" i="22"/>
  <c r="C43" i="22"/>
  <c r="C44" i="22"/>
  <c r="C45" i="22"/>
  <c r="C46" i="22"/>
  <c r="C47" i="22"/>
  <c r="C48" i="22"/>
  <c r="C49" i="22"/>
  <c r="C50" i="22"/>
  <c r="C51" i="22"/>
  <c r="H4" i="22"/>
  <c r="H6" i="22"/>
  <c r="H3" i="22"/>
  <c r="H8" i="22"/>
  <c r="H2" i="22"/>
  <c r="H5" i="22"/>
  <c r="H7" i="22"/>
  <c r="C9" i="21"/>
  <c r="C10" i="21"/>
  <c r="C42" i="21"/>
  <c r="C11" i="21"/>
  <c r="C43" i="21"/>
  <c r="C12" i="21"/>
  <c r="C44" i="21"/>
  <c r="C45" i="21"/>
  <c r="C14" i="21"/>
  <c r="C46" i="21"/>
  <c r="C15" i="21"/>
  <c r="C47" i="21"/>
  <c r="C16" i="21"/>
  <c r="C48" i="21"/>
  <c r="C17" i="21"/>
  <c r="C18" i="21"/>
  <c r="C51" i="21"/>
  <c r="C20" i="21"/>
  <c r="C53" i="21"/>
  <c r="C54" i="21"/>
  <c r="C55" i="21"/>
  <c r="C24" i="21"/>
  <c r="C57" i="21"/>
  <c r="C58" i="21"/>
  <c r="C59" i="21"/>
  <c r="C29" i="21"/>
  <c r="C62" i="21"/>
  <c r="C63" i="21"/>
  <c r="C64" i="21"/>
  <c r="C34" i="21"/>
  <c r="C36" i="21"/>
  <c r="C38" i="21"/>
  <c r="C13" i="21"/>
  <c r="C49" i="21"/>
  <c r="C50" i="21"/>
  <c r="C19" i="21"/>
  <c r="C52" i="21"/>
  <c r="C21" i="21"/>
  <c r="C22" i="21"/>
  <c r="C23" i="21"/>
  <c r="C56" i="21"/>
  <c r="C25" i="21"/>
  <c r="C26" i="21"/>
  <c r="C27" i="21"/>
  <c r="C60" i="21"/>
  <c r="C61" i="21"/>
  <c r="C30" i="21"/>
  <c r="C31" i="21"/>
  <c r="C32" i="21"/>
  <c r="C65" i="21"/>
  <c r="C66" i="21"/>
  <c r="C35" i="21"/>
  <c r="C68" i="21"/>
  <c r="C69" i="21"/>
  <c r="C28" i="21"/>
  <c r="C33" i="21"/>
  <c r="C67" i="21"/>
  <c r="C37" i="21"/>
  <c r="C39" i="21"/>
  <c r="C40" i="21"/>
  <c r="C41" i="21"/>
  <c r="G16" i="9" l="1"/>
  <c r="C70" i="9"/>
  <c r="C73" i="9"/>
  <c r="C55" i="9"/>
  <c r="D18" i="9" s="1"/>
  <c r="C74" i="9"/>
  <c r="C75" i="9"/>
  <c r="C71" i="9"/>
  <c r="C53" i="9"/>
  <c r="G64" i="9"/>
  <c r="C72" i="9" s="1"/>
  <c r="C58" i="9"/>
  <c r="C57" i="9"/>
  <c r="C56" i="9"/>
  <c r="C54" i="9"/>
  <c r="C67" i="9"/>
  <c r="C65" i="9"/>
  <c r="C66" i="9"/>
  <c r="C63" i="9"/>
  <c r="C18" i="9"/>
  <c r="C62" i="9"/>
  <c r="G23" i="9"/>
  <c r="G26" i="9"/>
  <c r="G18" i="9"/>
  <c r="G24" i="9"/>
  <c r="G17" i="9"/>
  <c r="G25" i="9"/>
  <c r="G19" i="9"/>
  <c r="G20" i="9"/>
  <c r="G27" i="9"/>
  <c r="G22" i="9"/>
  <c r="G31" i="9"/>
  <c r="G29" i="9"/>
  <c r="G32" i="9"/>
  <c r="G21" i="9"/>
  <c r="G38" i="9" s="1"/>
  <c r="G30" i="9"/>
  <c r="G28" i="9"/>
  <c r="E42" i="20"/>
  <c r="D61" i="20"/>
  <c r="D56" i="20"/>
  <c r="D38" i="20"/>
  <c r="E38" i="20"/>
  <c r="E41" i="20"/>
  <c r="E29" i="20"/>
  <c r="E24" i="20"/>
  <c r="D41" i="20"/>
  <c r="D24" i="20"/>
  <c r="D37" i="20"/>
  <c r="D55" i="20"/>
  <c r="E37" i="20"/>
  <c r="E55" i="20"/>
  <c r="E36" i="20"/>
  <c r="D23" i="20"/>
  <c r="E28" i="20"/>
  <c r="E23" i="20"/>
  <c r="D67" i="20"/>
  <c r="E59" i="20"/>
  <c r="D35" i="20"/>
  <c r="D53" i="20"/>
  <c r="D27" i="20"/>
  <c r="D66" i="20"/>
  <c r="D21" i="20"/>
  <c r="D48" i="20"/>
  <c r="E21" i="20"/>
  <c r="D34" i="20"/>
  <c r="E52" i="20"/>
  <c r="D40" i="20"/>
  <c r="D65" i="20"/>
  <c r="E20" i="20"/>
  <c r="E65" i="20"/>
  <c r="D54" i="20"/>
  <c r="D33" i="20"/>
  <c r="E19" i="20"/>
  <c r="E64" i="20"/>
  <c r="E50" i="20"/>
  <c r="E32" i="20"/>
  <c r="D50" i="20"/>
  <c r="D39" i="20"/>
  <c r="E18" i="20"/>
  <c r="E63" i="20"/>
  <c r="D31" i="20"/>
  <c r="E47" i="20"/>
  <c r="D26" i="20"/>
  <c r="D62" i="20"/>
  <c r="E45" i="20"/>
  <c r="D57" i="20"/>
  <c r="D30" i="20"/>
  <c r="E43" i="20"/>
  <c r="E25" i="20"/>
  <c r="D42" i="20"/>
  <c r="E61" i="20"/>
  <c r="E56" i="20"/>
  <c r="E49" i="20"/>
  <c r="D29" i="20"/>
  <c r="D49" i="20"/>
  <c r="E60" i="20"/>
  <c r="E17" i="20"/>
  <c r="D60" i="20"/>
  <c r="D17" i="20"/>
  <c r="D28" i="20"/>
  <c r="D36" i="20"/>
  <c r="E22" i="20"/>
  <c r="E67" i="20"/>
  <c r="D22" i="20"/>
  <c r="E27" i="20"/>
  <c r="E35" i="20"/>
  <c r="E53" i="20"/>
  <c r="E48" i="20"/>
  <c r="E66" i="20"/>
  <c r="E40" i="20"/>
  <c r="E34" i="20"/>
  <c r="D52" i="20"/>
  <c r="D58" i="20"/>
  <c r="E58" i="20"/>
  <c r="D20" i="20"/>
  <c r="E33" i="20"/>
  <c r="E54" i="20"/>
  <c r="E46" i="20"/>
  <c r="D46" i="20"/>
  <c r="D32" i="20"/>
  <c r="D59" i="20"/>
  <c r="E51" i="20"/>
  <c r="D51" i="20"/>
  <c r="D64" i="20"/>
  <c r="D19" i="20"/>
  <c r="E44" i="20"/>
  <c r="D44" i="20"/>
  <c r="D63" i="20"/>
  <c r="E39" i="20"/>
  <c r="D18" i="20"/>
  <c r="E26" i="20"/>
  <c r="E31" i="20"/>
  <c r="D47" i="20"/>
  <c r="E57" i="20"/>
  <c r="E62" i="20"/>
  <c r="D45" i="20"/>
  <c r="D25" i="20"/>
  <c r="E30" i="20"/>
  <c r="D43" i="20"/>
  <c r="E48" i="17"/>
  <c r="D24" i="17"/>
  <c r="D67" i="17"/>
  <c r="E50" i="17"/>
  <c r="E24" i="17"/>
  <c r="E67" i="17"/>
  <c r="D50" i="17"/>
  <c r="E47" i="17"/>
  <c r="E55" i="17"/>
  <c r="E66" i="17"/>
  <c r="E18" i="17"/>
  <c r="D47" i="17"/>
  <c r="D55" i="17"/>
  <c r="D66" i="17"/>
  <c r="D18" i="17"/>
  <c r="D45" i="17"/>
  <c r="D22" i="17"/>
  <c r="E45" i="17"/>
  <c r="E65" i="17"/>
  <c r="D44" i="17"/>
  <c r="D64" i="17"/>
  <c r="E44" i="17"/>
  <c r="E21" i="17"/>
  <c r="E31" i="17"/>
  <c r="E42" i="17"/>
  <c r="D31" i="17"/>
  <c r="E52" i="17"/>
  <c r="D30" i="17"/>
  <c r="D52" i="17"/>
  <c r="E30" i="17"/>
  <c r="E20" i="17"/>
  <c r="D35" i="17"/>
  <c r="E61" i="17"/>
  <c r="E43" i="17"/>
  <c r="E33" i="17"/>
  <c r="D28" i="17"/>
  <c r="D32" i="17"/>
  <c r="D27" i="17"/>
  <c r="E41" i="17"/>
  <c r="E63" i="17"/>
  <c r="D63" i="17"/>
  <c r="E26" i="17"/>
  <c r="D57" i="17"/>
  <c r="E34" i="17"/>
  <c r="E57" i="17"/>
  <c r="D49" i="17"/>
  <c r="E56" i="17"/>
  <c r="E49" i="17"/>
  <c r="E60" i="17"/>
  <c r="E23" i="17"/>
  <c r="D46" i="17"/>
  <c r="E59" i="17"/>
  <c r="E54" i="17"/>
  <c r="D59" i="17"/>
  <c r="D54" i="17"/>
  <c r="D37" i="17"/>
  <c r="D51" i="17"/>
  <c r="D58" i="17"/>
  <c r="E51" i="17"/>
  <c r="E19" i="17"/>
  <c r="D25" i="17"/>
  <c r="D48" i="17"/>
  <c r="D65" i="17"/>
  <c r="E22" i="17"/>
  <c r="D53" i="17"/>
  <c r="E53" i="17"/>
  <c r="E64" i="17"/>
  <c r="D42" i="17"/>
  <c r="D21" i="17"/>
  <c r="D40" i="17"/>
  <c r="E40" i="17"/>
  <c r="E35" i="17"/>
  <c r="D61" i="17"/>
  <c r="D20" i="17"/>
  <c r="D33" i="17"/>
  <c r="E28" i="17"/>
  <c r="D43" i="17"/>
  <c r="D41" i="17"/>
  <c r="E32" i="17"/>
  <c r="E27" i="17"/>
  <c r="D38" i="17"/>
  <c r="D26" i="17"/>
  <c r="E38" i="17"/>
  <c r="D34" i="17"/>
  <c r="D62" i="17"/>
  <c r="E29" i="17"/>
  <c r="D29" i="17"/>
  <c r="D56" i="17"/>
  <c r="E46" i="17"/>
  <c r="D60" i="17"/>
  <c r="D23" i="17"/>
  <c r="D39" i="17"/>
  <c r="E39" i="17"/>
  <c r="E58" i="17"/>
  <c r="E37" i="17"/>
  <c r="E25" i="17"/>
  <c r="E36" i="17"/>
  <c r="D36" i="17"/>
  <c r="D19" i="17"/>
  <c r="E62" i="17"/>
  <c r="D43" i="16"/>
  <c r="E19" i="16"/>
  <c r="E47" i="16"/>
  <c r="E49" i="16"/>
  <c r="D49" i="16"/>
  <c r="E48" i="16"/>
  <c r="E45" i="16"/>
  <c r="D48" i="16"/>
  <c r="D45" i="16"/>
  <c r="D33" i="16"/>
  <c r="D44" i="16"/>
  <c r="E44" i="16"/>
  <c r="E32" i="16"/>
  <c r="D42" i="16"/>
  <c r="D38" i="16"/>
  <c r="D62" i="16"/>
  <c r="D34" i="16"/>
  <c r="E34" i="16"/>
  <c r="D58" i="16"/>
  <c r="E35" i="16"/>
  <c r="E29" i="16"/>
  <c r="D21" i="16"/>
  <c r="E65" i="16"/>
  <c r="D65" i="16"/>
  <c r="E24" i="16"/>
  <c r="E63" i="16"/>
  <c r="E30" i="16"/>
  <c r="D30" i="16"/>
  <c r="E22" i="16"/>
  <c r="D59" i="16"/>
  <c r="E26" i="16"/>
  <c r="E25" i="16"/>
  <c r="E20" i="16"/>
  <c r="D23" i="16"/>
  <c r="E52" i="16"/>
  <c r="D52" i="16"/>
  <c r="E18" i="16"/>
  <c r="D51" i="16"/>
  <c r="E43" i="16"/>
  <c r="D19" i="16"/>
  <c r="D47" i="16"/>
  <c r="D41" i="16"/>
  <c r="D17" i="16"/>
  <c r="E46" i="16"/>
  <c r="D46" i="16"/>
  <c r="D40" i="16"/>
  <c r="E42" i="16"/>
  <c r="E40" i="16"/>
  <c r="E62" i="16"/>
  <c r="E28" i="16"/>
  <c r="D37" i="16"/>
  <c r="E37" i="16"/>
  <c r="D31" i="16"/>
  <c r="E31" i="16"/>
  <c r="E21" i="16"/>
  <c r="D29" i="16"/>
  <c r="D36" i="16"/>
  <c r="E36" i="16"/>
  <c r="E64" i="16"/>
  <c r="D24" i="16"/>
  <c r="D61" i="16"/>
  <c r="E61" i="16"/>
  <c r="E60" i="16"/>
  <c r="D22" i="16"/>
  <c r="D25" i="16"/>
  <c r="E53" i="16"/>
  <c r="D57" i="16"/>
  <c r="D20" i="16"/>
  <c r="D50" i="16"/>
  <c r="E50" i="16"/>
  <c r="E54" i="16"/>
  <c r="D54" i="16"/>
  <c r="E41" i="16"/>
  <c r="E17" i="16"/>
  <c r="E33" i="16"/>
  <c r="D32" i="16"/>
  <c r="D39" i="16"/>
  <c r="E38" i="16"/>
  <c r="E39" i="16"/>
  <c r="D28" i="16"/>
  <c r="D35" i="16"/>
  <c r="E58" i="16"/>
  <c r="D66" i="16"/>
  <c r="E66" i="16"/>
  <c r="E27" i="16"/>
  <c r="D27" i="16"/>
  <c r="D63" i="16"/>
  <c r="D64" i="16"/>
  <c r="E55" i="16"/>
  <c r="D55" i="16"/>
  <c r="E59" i="16"/>
  <c r="D60" i="16"/>
  <c r="D53" i="16"/>
  <c r="D26" i="16"/>
  <c r="E23" i="16"/>
  <c r="E57" i="16"/>
  <c r="E56" i="16"/>
  <c r="D56" i="16"/>
  <c r="E51" i="16"/>
  <c r="D18" i="16"/>
  <c r="D49" i="15"/>
  <c r="E34" i="15"/>
  <c r="D52" i="15"/>
  <c r="E49" i="15"/>
  <c r="D34" i="15"/>
  <c r="E52" i="15"/>
  <c r="D44" i="15"/>
  <c r="E33" i="15"/>
  <c r="D20" i="15"/>
  <c r="E44" i="15"/>
  <c r="D33" i="15"/>
  <c r="E20" i="15"/>
  <c r="E41" i="15"/>
  <c r="D31" i="15"/>
  <c r="D51" i="15"/>
  <c r="D41" i="15"/>
  <c r="E31" i="15"/>
  <c r="E51" i="15"/>
  <c r="E32" i="15"/>
  <c r="E30" i="15"/>
  <c r="E19" i="15"/>
  <c r="D32" i="15"/>
  <c r="D30" i="15"/>
  <c r="D19" i="15"/>
  <c r="D48" i="15"/>
  <c r="D29" i="15"/>
  <c r="D50" i="15"/>
  <c r="E48" i="15"/>
  <c r="E29" i="15"/>
  <c r="E50" i="15"/>
  <c r="D47" i="15"/>
  <c r="D28" i="15"/>
  <c r="D18" i="15"/>
  <c r="E47" i="15"/>
  <c r="E28" i="15"/>
  <c r="E18" i="15"/>
  <c r="D46" i="15"/>
  <c r="D27" i="15"/>
  <c r="E46" i="15"/>
  <c r="E27" i="15"/>
  <c r="D45" i="15"/>
  <c r="D26" i="15"/>
  <c r="E45" i="15"/>
  <c r="E26" i="15"/>
  <c r="E43" i="15"/>
  <c r="D25" i="15"/>
  <c r="D43" i="15"/>
  <c r="E25" i="15"/>
  <c r="E42" i="15"/>
  <c r="D24" i="15"/>
  <c r="D42" i="15"/>
  <c r="E24" i="15"/>
  <c r="E40" i="15"/>
  <c r="D55" i="15"/>
  <c r="D40" i="15"/>
  <c r="E55" i="15"/>
  <c r="E39" i="15"/>
  <c r="D23" i="15"/>
  <c r="D39" i="15"/>
  <c r="E23" i="15"/>
  <c r="E38" i="15"/>
  <c r="D54" i="15"/>
  <c r="D38" i="15"/>
  <c r="E54" i="15"/>
  <c r="D37" i="15"/>
  <c r="D22" i="15"/>
  <c r="E37" i="15"/>
  <c r="E22" i="15"/>
  <c r="E36" i="15"/>
  <c r="D53" i="15"/>
  <c r="D36" i="15"/>
  <c r="E53" i="15"/>
  <c r="D35" i="15"/>
  <c r="D21" i="15"/>
  <c r="E35" i="15"/>
  <c r="E21" i="15"/>
  <c r="D48" i="14"/>
  <c r="E28" i="14"/>
  <c r="D50" i="14"/>
  <c r="E48" i="14"/>
  <c r="D28" i="14"/>
  <c r="E50" i="14"/>
  <c r="E46" i="14"/>
  <c r="D27" i="14"/>
  <c r="D18" i="14"/>
  <c r="D46" i="14"/>
  <c r="E27" i="14"/>
  <c r="E18" i="14"/>
  <c r="D45" i="14"/>
  <c r="D26" i="14"/>
  <c r="E45" i="14"/>
  <c r="E26" i="14"/>
  <c r="E44" i="14"/>
  <c r="E25" i="14"/>
  <c r="D44" i="14"/>
  <c r="D25" i="14"/>
  <c r="E43" i="14"/>
  <c r="E24" i="14"/>
  <c r="D43" i="14"/>
  <c r="D24" i="14"/>
  <c r="E42" i="14"/>
  <c r="D34" i="14"/>
  <c r="D42" i="14"/>
  <c r="E34" i="14"/>
  <c r="D41" i="14"/>
  <c r="E30" i="14"/>
  <c r="E41" i="14"/>
  <c r="D30" i="14"/>
  <c r="D40" i="14"/>
  <c r="D22" i="14"/>
  <c r="E40" i="14"/>
  <c r="E22" i="14"/>
  <c r="D39" i="14"/>
  <c r="D20" i="14"/>
  <c r="E39" i="14"/>
  <c r="E20" i="14"/>
  <c r="D38" i="14"/>
  <c r="D51" i="14"/>
  <c r="E38" i="14"/>
  <c r="E51" i="14"/>
  <c r="D37" i="14"/>
  <c r="E19" i="14"/>
  <c r="E37" i="14"/>
  <c r="D19" i="14"/>
  <c r="D36" i="14"/>
  <c r="E49" i="14"/>
  <c r="E36" i="14"/>
  <c r="D49" i="14"/>
  <c r="D35" i="14"/>
  <c r="E47" i="14"/>
  <c r="E35" i="14"/>
  <c r="D47" i="14"/>
  <c r="D33" i="14"/>
  <c r="D32" i="14"/>
  <c r="E33" i="14"/>
  <c r="E32" i="14"/>
  <c r="D31" i="14"/>
  <c r="D23" i="14"/>
  <c r="E31" i="14"/>
  <c r="E23" i="14"/>
  <c r="D29" i="14"/>
  <c r="D21" i="14"/>
  <c r="E29" i="14"/>
  <c r="E21" i="14"/>
  <c r="E53" i="13"/>
  <c r="D52" i="13"/>
  <c r="E52" i="13"/>
  <c r="D51" i="13"/>
  <c r="E51" i="13"/>
  <c r="D50" i="13"/>
  <c r="E50" i="13"/>
  <c r="D49" i="13"/>
  <c r="E49" i="13"/>
  <c r="D48" i="13"/>
  <c r="E48" i="13"/>
  <c r="D47" i="13"/>
  <c r="E47" i="13"/>
  <c r="D46" i="13"/>
  <c r="E46" i="13"/>
  <c r="D54" i="13"/>
  <c r="E54" i="13"/>
  <c r="D53" i="13"/>
  <c r="D32" i="13"/>
  <c r="E25" i="13"/>
  <c r="D43" i="13"/>
  <c r="D35" i="13"/>
  <c r="E43" i="13"/>
  <c r="E35" i="13"/>
  <c r="D40" i="13"/>
  <c r="E24" i="13"/>
  <c r="E40" i="13"/>
  <c r="D24" i="13"/>
  <c r="D29" i="13"/>
  <c r="D45" i="13"/>
  <c r="E29" i="13"/>
  <c r="E45" i="13"/>
  <c r="D38" i="13"/>
  <c r="D34" i="13"/>
  <c r="E38" i="13"/>
  <c r="E34" i="13"/>
  <c r="D27" i="13"/>
  <c r="D44" i="13"/>
  <c r="E27" i="13"/>
  <c r="E44" i="13"/>
  <c r="D36" i="13"/>
  <c r="D33" i="13"/>
  <c r="E36" i="13"/>
  <c r="E33" i="13"/>
  <c r="D23" i="13"/>
  <c r="D22" i="13"/>
  <c r="E23" i="13"/>
  <c r="E22" i="13"/>
  <c r="D42" i="13"/>
  <c r="E42" i="13"/>
  <c r="E31" i="13"/>
  <c r="D31" i="13"/>
  <c r="D41" i="13"/>
  <c r="E41" i="13"/>
  <c r="E30" i="13"/>
  <c r="D30" i="13"/>
  <c r="E39" i="13"/>
  <c r="D39" i="13"/>
  <c r="E28" i="13"/>
  <c r="D28" i="13"/>
  <c r="E37" i="13"/>
  <c r="D37" i="13"/>
  <c r="E26" i="13"/>
  <c r="D26" i="13"/>
  <c r="E32" i="13"/>
  <c r="D25" i="13"/>
  <c r="D21" i="13"/>
  <c r="E21" i="13"/>
  <c r="E19" i="13"/>
  <c r="E17" i="13"/>
  <c r="D20" i="13"/>
  <c r="E20" i="13"/>
  <c r="D18" i="13"/>
  <c r="E18" i="13"/>
  <c r="D19" i="13"/>
  <c r="D17" i="13"/>
  <c r="D37" i="12"/>
  <c r="D30" i="12"/>
  <c r="E36" i="12"/>
  <c r="E28" i="12"/>
  <c r="D36" i="12"/>
  <c r="D28" i="12"/>
  <c r="D34" i="12"/>
  <c r="E26" i="12"/>
  <c r="E34" i="12"/>
  <c r="D26" i="12"/>
  <c r="D31" i="12"/>
  <c r="E23" i="12"/>
  <c r="E31" i="12"/>
  <c r="D23" i="12"/>
  <c r="D29" i="12"/>
  <c r="D21" i="12"/>
  <c r="E29" i="12"/>
  <c r="E21" i="12"/>
  <c r="E25" i="12"/>
  <c r="E17" i="12"/>
  <c r="D25" i="12"/>
  <c r="D17" i="12"/>
  <c r="E22" i="12"/>
  <c r="D22" i="12"/>
  <c r="E20" i="12"/>
  <c r="D20" i="12"/>
  <c r="E19" i="12"/>
  <c r="D19" i="12"/>
  <c r="D16" i="12"/>
  <c r="E16" i="12"/>
  <c r="E35" i="12"/>
  <c r="D35" i="12"/>
  <c r="D33" i="12"/>
  <c r="E33" i="12"/>
  <c r="D27" i="12"/>
  <c r="E27" i="12"/>
  <c r="D24" i="12"/>
  <c r="E24" i="12"/>
  <c r="E18" i="12"/>
  <c r="D18" i="12"/>
  <c r="E32" i="12"/>
  <c r="D32" i="12"/>
  <c r="E37" i="12"/>
  <c r="E30" i="12"/>
  <c r="D19" i="11"/>
  <c r="E18" i="11"/>
  <c r="D17" i="11"/>
  <c r="E17" i="11"/>
  <c r="D16" i="11"/>
  <c r="E19" i="11"/>
  <c r="E16" i="11"/>
  <c r="D18" i="11"/>
  <c r="D9" i="10"/>
  <c r="E25" i="10"/>
  <c r="E9" i="10"/>
  <c r="D25" i="10"/>
  <c r="E35" i="10"/>
  <c r="E24" i="10"/>
  <c r="D35" i="10"/>
  <c r="D24" i="10"/>
  <c r="D34" i="10"/>
  <c r="E19" i="10"/>
  <c r="E34" i="10"/>
  <c r="D19" i="10"/>
  <c r="E31" i="10"/>
  <c r="E18" i="10"/>
  <c r="D31" i="10"/>
  <c r="D18" i="10"/>
  <c r="E28" i="10"/>
  <c r="E17" i="10"/>
  <c r="D28" i="10"/>
  <c r="D17" i="10"/>
  <c r="D26" i="10"/>
  <c r="E8" i="10"/>
  <c r="E26" i="10"/>
  <c r="D8" i="10"/>
  <c r="E23" i="10"/>
  <c r="E16" i="10"/>
  <c r="D23" i="10"/>
  <c r="D16" i="10"/>
  <c r="E22" i="10"/>
  <c r="D15" i="10"/>
  <c r="D22" i="10"/>
  <c r="E15" i="10"/>
  <c r="E21" i="10"/>
  <c r="D14" i="10"/>
  <c r="D21" i="10"/>
  <c r="E20" i="10"/>
  <c r="D13" i="10"/>
  <c r="D20" i="10"/>
  <c r="E13" i="10"/>
  <c r="E36" i="10"/>
  <c r="E12" i="10"/>
  <c r="D36" i="10"/>
  <c r="D12" i="10"/>
  <c r="E33" i="10"/>
  <c r="D11" i="10"/>
  <c r="D33" i="10"/>
  <c r="E11" i="10"/>
  <c r="E32" i="10"/>
  <c r="E10" i="10"/>
  <c r="D32" i="10"/>
  <c r="D10" i="10"/>
  <c r="E30" i="10"/>
  <c r="D30" i="10"/>
  <c r="D29" i="10"/>
  <c r="E29" i="10"/>
  <c r="E27" i="10"/>
  <c r="D27" i="10"/>
  <c r="E14" i="10"/>
  <c r="D76" i="23"/>
  <c r="D51" i="23"/>
  <c r="D66" i="23"/>
  <c r="D77" i="23"/>
  <c r="E60" i="23"/>
  <c r="D49" i="23"/>
  <c r="E33" i="23"/>
  <c r="D33" i="23"/>
  <c r="D47" i="23"/>
  <c r="E47" i="23"/>
  <c r="D42" i="23"/>
  <c r="E46" i="23"/>
  <c r="E45" i="23"/>
  <c r="E73" i="23"/>
  <c r="D31" i="23"/>
  <c r="D71" i="23"/>
  <c r="D39" i="23"/>
  <c r="E39" i="23"/>
  <c r="D38" i="23"/>
  <c r="E40" i="23"/>
  <c r="D59" i="23"/>
  <c r="D58" i="23"/>
  <c r="D57" i="23"/>
  <c r="D56" i="23"/>
  <c r="D67" i="23"/>
  <c r="E79" i="23"/>
  <c r="D78" i="23"/>
  <c r="E35" i="23"/>
  <c r="E76" i="23"/>
  <c r="E51" i="23"/>
  <c r="E66" i="23"/>
  <c r="E77" i="23"/>
  <c r="D60" i="23"/>
  <c r="E48" i="23"/>
  <c r="D48" i="23"/>
  <c r="D64" i="23"/>
  <c r="E74" i="23"/>
  <c r="D46" i="23"/>
  <c r="E42" i="23"/>
  <c r="E63" i="23"/>
  <c r="D45" i="23"/>
  <c r="E71" i="23"/>
  <c r="E41" i="23"/>
  <c r="D62" i="23"/>
  <c r="E72" i="23"/>
  <c r="D30" i="23"/>
  <c r="E38" i="23"/>
  <c r="E61" i="23"/>
  <c r="D61" i="23"/>
  <c r="D37" i="23"/>
  <c r="E37" i="23"/>
  <c r="E55" i="23"/>
  <c r="D68" i="23"/>
  <c r="E52" i="23"/>
  <c r="E36" i="23"/>
  <c r="D54" i="23"/>
  <c r="D53" i="23"/>
  <c r="D44" i="23"/>
  <c r="E50" i="23"/>
  <c r="D34" i="23"/>
  <c r="E70" i="23"/>
  <c r="E44" i="23"/>
  <c r="D50" i="23"/>
  <c r="E34" i="23"/>
  <c r="D70" i="23"/>
  <c r="D75" i="23"/>
  <c r="E49" i="23"/>
  <c r="D65" i="23"/>
  <c r="E75" i="23"/>
  <c r="E65" i="23"/>
  <c r="E43" i="23"/>
  <c r="D28" i="23"/>
  <c r="D43" i="23"/>
  <c r="E28" i="23"/>
  <c r="D74" i="23"/>
  <c r="E64" i="23"/>
  <c r="D32" i="23"/>
  <c r="E32" i="23"/>
  <c r="D73" i="23"/>
  <c r="D63" i="23"/>
  <c r="D41" i="23"/>
  <c r="E31" i="23"/>
  <c r="D72" i="23"/>
  <c r="E62" i="23"/>
  <c r="D40" i="23"/>
  <c r="E30" i="23"/>
  <c r="E69" i="23"/>
  <c r="D69" i="23"/>
  <c r="D29" i="23"/>
  <c r="E29" i="23"/>
  <c r="E57" i="23"/>
  <c r="D55" i="23"/>
  <c r="D36" i="23"/>
  <c r="D52" i="23"/>
  <c r="D79" i="23"/>
  <c r="E67" i="23"/>
  <c r="D35" i="23"/>
  <c r="E78" i="23"/>
  <c r="E59" i="23"/>
  <c r="E58" i="23"/>
  <c r="E68" i="23"/>
  <c r="E56" i="23"/>
  <c r="E54" i="23"/>
  <c r="E53" i="23"/>
  <c r="E51" i="22"/>
  <c r="D37" i="22"/>
  <c r="E29" i="22"/>
  <c r="E21" i="22"/>
  <c r="E50" i="22"/>
  <c r="D68" i="22"/>
  <c r="E60" i="22"/>
  <c r="D50" i="22"/>
  <c r="D60" i="22"/>
  <c r="D52" i="22"/>
  <c r="E49" i="22"/>
  <c r="E36" i="22"/>
  <c r="D28" i="22"/>
  <c r="E48" i="22"/>
  <c r="E67" i="22"/>
  <c r="E47" i="22"/>
  <c r="E35" i="22"/>
  <c r="E46" i="22"/>
  <c r="D46" i="22"/>
  <c r="D58" i="22"/>
  <c r="D45" i="22"/>
  <c r="E26" i="22"/>
  <c r="E34" i="22"/>
  <c r="D26" i="22"/>
  <c r="D44" i="22"/>
  <c r="E57" i="22"/>
  <c r="E65" i="22"/>
  <c r="D57" i="22"/>
  <c r="D33" i="22"/>
  <c r="E25" i="22"/>
  <c r="E33" i="22"/>
  <c r="D25" i="22"/>
  <c r="E56" i="22"/>
  <c r="E42" i="22"/>
  <c r="E32" i="22"/>
  <c r="E41" i="22"/>
  <c r="E55" i="22"/>
  <c r="E70" i="22"/>
  <c r="E23" i="22"/>
  <c r="E38" i="22"/>
  <c r="E54" i="22"/>
  <c r="D62" i="22"/>
  <c r="D39" i="22"/>
  <c r="D22" i="22"/>
  <c r="D69" i="22"/>
  <c r="D61" i="22"/>
  <c r="D51" i="22"/>
  <c r="E37" i="22"/>
  <c r="D29" i="22"/>
  <c r="D21" i="22"/>
  <c r="E52" i="22"/>
  <c r="E68" i="22"/>
  <c r="D36" i="22"/>
  <c r="E28" i="22"/>
  <c r="E20" i="22"/>
  <c r="D49" i="22"/>
  <c r="D20" i="22"/>
  <c r="D67" i="22"/>
  <c r="E59" i="22"/>
  <c r="D48" i="22"/>
  <c r="D59" i="22"/>
  <c r="D35" i="22"/>
  <c r="E27" i="22"/>
  <c r="D47" i="22"/>
  <c r="D27" i="22"/>
  <c r="D66" i="22"/>
  <c r="E58" i="22"/>
  <c r="E66" i="22"/>
  <c r="D34" i="22"/>
  <c r="E45" i="22"/>
  <c r="D65" i="22"/>
  <c r="E44" i="22"/>
  <c r="D43" i="22"/>
  <c r="E43" i="22"/>
  <c r="E64" i="22"/>
  <c r="D64" i="22"/>
  <c r="D56" i="22"/>
  <c r="D41" i="22"/>
  <c r="E24" i="22"/>
  <c r="D32" i="22"/>
  <c r="D70" i="22"/>
  <c r="D63" i="22"/>
  <c r="D38" i="22"/>
  <c r="D23" i="22"/>
  <c r="E62" i="22"/>
  <c r="E40" i="22"/>
  <c r="E22" i="22"/>
  <c r="E39" i="22"/>
  <c r="E61" i="22"/>
  <c r="D53" i="22"/>
  <c r="D42" i="22"/>
  <c r="D24" i="22"/>
  <c r="E63" i="22"/>
  <c r="D55" i="22"/>
  <c r="E31" i="22"/>
  <c r="D31" i="22"/>
  <c r="D40" i="22"/>
  <c r="D54" i="22"/>
  <c r="E30" i="22"/>
  <c r="D30" i="22"/>
  <c r="E53" i="22"/>
  <c r="E69" i="22"/>
  <c r="E41" i="21"/>
  <c r="E60" i="21"/>
  <c r="E64" i="21"/>
  <c r="E16" i="21"/>
  <c r="D41" i="21"/>
  <c r="D60" i="21"/>
  <c r="D64" i="21"/>
  <c r="D16" i="21"/>
  <c r="E40" i="21"/>
  <c r="E27" i="21"/>
  <c r="E63" i="21"/>
  <c r="D47" i="21"/>
  <c r="D40" i="21"/>
  <c r="D27" i="21"/>
  <c r="D63" i="21"/>
  <c r="E47" i="21"/>
  <c r="E39" i="21"/>
  <c r="E26" i="21"/>
  <c r="E62" i="21"/>
  <c r="D15" i="21"/>
  <c r="D39" i="21"/>
  <c r="D26" i="21"/>
  <c r="D62" i="21"/>
  <c r="E15" i="21"/>
  <c r="E37" i="21"/>
  <c r="E25" i="21"/>
  <c r="E29" i="21"/>
  <c r="D46" i="21"/>
  <c r="D37" i="21"/>
  <c r="D25" i="21"/>
  <c r="D29" i="21"/>
  <c r="E46" i="21"/>
  <c r="E67" i="21"/>
  <c r="E56" i="21"/>
  <c r="E59" i="21"/>
  <c r="D14" i="21"/>
  <c r="D67" i="21"/>
  <c r="D56" i="21"/>
  <c r="D59" i="21"/>
  <c r="E14" i="21"/>
  <c r="E33" i="21"/>
  <c r="E23" i="21"/>
  <c r="E58" i="21"/>
  <c r="D45" i="21"/>
  <c r="D33" i="21"/>
  <c r="D23" i="21"/>
  <c r="D58" i="21"/>
  <c r="E45" i="21"/>
  <c r="E28" i="21"/>
  <c r="E22" i="21"/>
  <c r="E57" i="21"/>
  <c r="E44" i="21"/>
  <c r="D28" i="21"/>
  <c r="D22" i="21"/>
  <c r="D57" i="21"/>
  <c r="D44" i="21"/>
  <c r="E69" i="21"/>
  <c r="E21" i="21"/>
  <c r="E24" i="21"/>
  <c r="E12" i="21"/>
  <c r="D69" i="21"/>
  <c r="D21" i="21"/>
  <c r="D24" i="21"/>
  <c r="D12" i="21"/>
  <c r="D68" i="21"/>
  <c r="E52" i="21"/>
  <c r="E55" i="21"/>
  <c r="E43" i="21"/>
  <c r="E68" i="21"/>
  <c r="D52" i="21"/>
  <c r="D55" i="21"/>
  <c r="D43" i="21"/>
  <c r="E35" i="21"/>
  <c r="E54" i="21"/>
  <c r="E11" i="21"/>
  <c r="D35" i="21"/>
  <c r="D19" i="21"/>
  <c r="D54" i="21"/>
  <c r="D11" i="21"/>
  <c r="E66" i="21"/>
  <c r="E50" i="21"/>
  <c r="E53" i="21"/>
  <c r="D66" i="21"/>
  <c r="D53" i="21"/>
  <c r="D42" i="21"/>
  <c r="E65" i="21"/>
  <c r="E10" i="21"/>
  <c r="D49" i="21"/>
  <c r="D10" i="21"/>
  <c r="E32" i="21"/>
  <c r="E51" i="21"/>
  <c r="E9" i="21"/>
  <c r="E13" i="21"/>
  <c r="E38" i="21"/>
  <c r="D18" i="21"/>
  <c r="E36" i="21"/>
  <c r="D17" i="21"/>
  <c r="E61" i="21"/>
  <c r="D65" i="21"/>
  <c r="D32" i="21"/>
  <c r="E18" i="21"/>
  <c r="D38" i="21"/>
  <c r="E17" i="21"/>
  <c r="D36" i="21"/>
  <c r="E34" i="21"/>
  <c r="D48" i="21"/>
  <c r="E49" i="21"/>
  <c r="D9" i="21"/>
  <c r="D31" i="21"/>
  <c r="D30" i="21"/>
  <c r="D61" i="21"/>
  <c r="E19" i="21"/>
  <c r="E42" i="21"/>
  <c r="D50" i="21"/>
  <c r="E20" i="21"/>
  <c r="D20" i="21"/>
  <c r="D13" i="21"/>
  <c r="D51" i="21"/>
  <c r="E31" i="21"/>
  <c r="E30" i="21"/>
  <c r="E48" i="21"/>
  <c r="D34" i="21"/>
  <c r="C80" i="9" l="1"/>
  <c r="C64" i="9"/>
  <c r="O64" i="9" s="1"/>
  <c r="D17" i="9"/>
  <c r="E17" i="9" s="1"/>
  <c r="F17" i="9" s="1"/>
  <c r="D21" i="9"/>
  <c r="E21" i="9" s="1"/>
  <c r="D20" i="9"/>
  <c r="E20" i="9" s="1"/>
  <c r="F20" i="9" s="1"/>
  <c r="O62" i="9"/>
  <c r="N62" i="9"/>
  <c r="O65" i="9"/>
  <c r="N65" i="9"/>
  <c r="N67" i="9"/>
  <c r="K21" i="9" s="1"/>
  <c r="O67" i="9"/>
  <c r="L21" i="9" s="1"/>
  <c r="N63" i="9"/>
  <c r="O63" i="9"/>
  <c r="D19" i="9"/>
  <c r="E19" i="9" s="1"/>
  <c r="F19" i="9" s="1"/>
  <c r="D16" i="9"/>
  <c r="E16" i="9" s="1"/>
  <c r="F16" i="9" s="1"/>
  <c r="N66" i="9"/>
  <c r="O66" i="9"/>
  <c r="E18" i="9"/>
  <c r="F18" i="9" s="1"/>
  <c r="G37" i="9"/>
  <c r="F21" i="9" l="1"/>
  <c r="H21" i="9" s="1"/>
  <c r="AO30" i="9"/>
  <c r="N64" i="9"/>
  <c r="B38" i="9" a="1"/>
  <c r="B38" i="9" s="1"/>
  <c r="E23" i="9" s="1"/>
  <c r="AO32" i="9" s="1"/>
  <c r="F23" i="9" l="1"/>
  <c r="H23" i="9" s="1"/>
  <c r="L23" i="9"/>
  <c r="K23" i="9"/>
  <c r="E25" i="9"/>
  <c r="AO37" i="9" s="1"/>
  <c r="E22" i="9"/>
  <c r="AO31" i="9" s="1"/>
  <c r="E24" i="9"/>
  <c r="AO36" i="9" s="1"/>
  <c r="C23" i="9"/>
  <c r="F22" i="9" l="1"/>
  <c r="K22" i="9"/>
  <c r="L22" i="9"/>
  <c r="C22" i="9"/>
  <c r="F24" i="9"/>
  <c r="H24" i="9" s="1"/>
  <c r="K24" i="9"/>
  <c r="L24" i="9"/>
  <c r="E26" i="9"/>
  <c r="AO38" i="9" s="1"/>
  <c r="K25" i="9"/>
  <c r="L25" i="9"/>
  <c r="C25" i="9"/>
  <c r="F25" i="9"/>
  <c r="H25" i="9" s="1"/>
  <c r="C24" i="9"/>
  <c r="H22" i="9" l="1"/>
  <c r="E27" i="9"/>
  <c r="AO39" i="9" s="1"/>
  <c r="K26" i="9"/>
  <c r="L26" i="9"/>
  <c r="C26" i="9"/>
  <c r="F26" i="9"/>
  <c r="H26" i="9" s="1"/>
  <c r="L27" i="9" l="1"/>
  <c r="K27" i="9"/>
  <c r="E28" i="9"/>
  <c r="AO40" i="9" s="1"/>
  <c r="F27" i="9"/>
  <c r="H27" i="9" s="1"/>
  <c r="C27" i="9"/>
  <c r="L28" i="9" l="1"/>
  <c r="E29" i="9"/>
  <c r="AO41" i="9" s="1"/>
  <c r="C28" i="9"/>
  <c r="K28" i="9"/>
  <c r="F28" i="9"/>
  <c r="H28" i="9" s="1"/>
  <c r="L29" i="9" l="1"/>
  <c r="K29" i="9"/>
  <c r="E30" i="9"/>
  <c r="AO42" i="9" s="1"/>
  <c r="C29" i="9"/>
  <c r="F29" i="9"/>
  <c r="H29" i="9" s="1"/>
  <c r="K30" i="9" l="1"/>
  <c r="F30" i="9"/>
  <c r="H30" i="9" s="1"/>
  <c r="C30" i="9"/>
  <c r="L30" i="9"/>
  <c r="E31" i="9"/>
  <c r="AO43" i="9" s="1"/>
  <c r="K31" i="9" l="1"/>
  <c r="C31" i="9"/>
  <c r="E32" i="9"/>
  <c r="AO44" i="9" s="1"/>
  <c r="L31" i="9"/>
  <c r="F31" i="9"/>
  <c r="H31" i="9" s="1"/>
  <c r="L32" i="9" l="1"/>
  <c r="K32" i="9"/>
  <c r="F32" i="9"/>
  <c r="F37" i="9" s="1"/>
  <c r="C32" i="9"/>
  <c r="H32" i="9" l="1"/>
  <c r="H3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<sst xmlns="http://schemas.openxmlformats.org/spreadsheetml/2006/main" count="159" uniqueCount="80">
  <si>
    <t>Years</t>
  </si>
  <si>
    <t>Difference</t>
  </si>
  <si>
    <t>Prix Export</t>
  </si>
  <si>
    <t>Cout 10 kwh</t>
  </si>
  <si>
    <t>Cout de batterie Evolium</t>
  </si>
  <si>
    <t>Buy in evolium</t>
  </si>
  <si>
    <t>Abo mensuel</t>
  </si>
  <si>
    <t>Regression linéaire Différence 2020-2025</t>
  </si>
  <si>
    <t>Prix import profil H4</t>
  </si>
  <si>
    <t>Average</t>
  </si>
  <si>
    <t>source</t>
  </si>
  <si>
    <t>https://www.vese.ch/fr/pvtarif/</t>
  </si>
  <si>
    <t>https://www.prix-electricite.elcom.admin.ch/?period=2025</t>
  </si>
  <si>
    <t>La Goule</t>
  </si>
  <si>
    <t>vide = outlier stat</t>
  </si>
  <si>
    <t>OIKEN</t>
  </si>
  <si>
    <t>Genedis</t>
  </si>
  <si>
    <t>Groupe E FR</t>
  </si>
  <si>
    <t>Groupe E NE</t>
  </si>
  <si>
    <t>BKW BE</t>
  </si>
  <si>
    <t>BKW JU</t>
  </si>
  <si>
    <t>SES TI</t>
  </si>
  <si>
    <t>Romande Energie</t>
  </si>
  <si>
    <t>EXPORT</t>
  </si>
  <si>
    <t>IMPORT H4</t>
  </si>
  <si>
    <t>DIFFERENCE</t>
  </si>
  <si>
    <t>Progression non  liméaire de la diff</t>
  </si>
  <si>
    <t>std-</t>
  </si>
  <si>
    <t>std dev</t>
  </si>
  <si>
    <t>std+</t>
  </si>
  <si>
    <t>Scenario spread</t>
  </si>
  <si>
    <t>Scenario +</t>
  </si>
  <si>
    <t>Scenario -</t>
  </si>
  <si>
    <t>Augmentation entre 2020 et 2025</t>
  </si>
  <si>
    <t>Abo annuel</t>
  </si>
  <si>
    <t>Nombre de jour de batterie</t>
  </si>
  <si>
    <t>Hypothèses</t>
  </si>
  <si>
    <t>en théorie infini mais il faut bien mettre un nombre….</t>
  </si>
  <si>
    <t>Commentaire pour Kurb</t>
  </si>
  <si>
    <t>Ici on sait que c'est un peu haut</t>
  </si>
  <si>
    <t>Amortissement Annuel</t>
  </si>
  <si>
    <t>Rabait payement annuel</t>
  </si>
  <si>
    <t>CAPEX evolium (durée de vie)</t>
  </si>
  <si>
    <t>=</t>
  </si>
  <si>
    <t>log</t>
  </si>
  <si>
    <t>Linéaire</t>
  </si>
  <si>
    <t>polynomial dég 2</t>
  </si>
  <si>
    <t>polynomial dég 3</t>
  </si>
  <si>
    <t>X</t>
  </si>
  <si>
    <t>y</t>
  </si>
  <si>
    <t>a</t>
  </si>
  <si>
    <t>b</t>
  </si>
  <si>
    <t>c</t>
  </si>
  <si>
    <t>d</t>
  </si>
  <si>
    <t>Chronologie</t>
  </si>
  <si>
    <t>Valeurs</t>
  </si>
  <si>
    <t>Prévision</t>
  </si>
  <si>
    <t>Limite de confiance inférieure</t>
  </si>
  <si>
    <t>Limite de confiance supérieure</t>
  </si>
  <si>
    <t>DÉTAIL IMPORTANT</t>
  </si>
  <si>
    <t>Vous avez inséré une recommandation qui utilise un tableau croisé dynamique.</t>
  </si>
  <si>
    <t>Les tableaux croisés dynamiques fonctionnent mieux lorsque les données sont organisées en colonnes et ne comportent qu’une seule ligne d’en-tête. C’est ce que nous avons fait ci-dessous.</t>
  </si>
  <si>
    <t>Champ1</t>
  </si>
  <si>
    <t>Champ2</t>
  </si>
  <si>
    <t>Somme de Champ2</t>
  </si>
  <si>
    <t>Total général</t>
  </si>
  <si>
    <t>Statistique</t>
  </si>
  <si>
    <t>Valeur</t>
  </si>
  <si>
    <t>Alpha</t>
  </si>
  <si>
    <t>Beta</t>
  </si>
  <si>
    <t>Gamma</t>
  </si>
  <si>
    <t>MASE</t>
  </si>
  <si>
    <t>SMAPE</t>
  </si>
  <si>
    <t>MAE</t>
  </si>
  <si>
    <t>RMSE</t>
  </si>
  <si>
    <t>Low forecast</t>
  </si>
  <si>
    <t>Moderately low forecast</t>
  </si>
  <si>
    <t>Reference forecast</t>
  </si>
  <si>
    <t>Moderately high forecast</t>
  </si>
  <si>
    <t>High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</si>
</sst>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59595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rgb="FF4D4D4C"/>
      <name val="Courier New"/>
      <family val="3"/>
    </font>
    <font>
      <sz val="8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 vertical="center" readingOrder="1"/>
    </xf>
    <xf numFmtId="44" fontId="0" fillId="0" borderId="0" xfId="1" applyFont="1"/>
    <xf numFmtId="0" fontId="4" fillId="0" borderId="0" xfId="0" applyFont="1"/>
    <xf numFmtId="9" fontId="0" fillId="0" borderId="0" xfId="2" applyFont="1"/>
    <xf numFmtId="164" fontId="3" fillId="0" borderId="0" xfId="1" applyNumberFormat="1" applyFont="1"/>
    <xf numFmtId="165" fontId="0" fillId="0" borderId="0" xfId="0" applyNumberFormat="1"/>
    <xf numFmtId="165" fontId="4" fillId="0" borderId="0" xfId="0" applyNumberFormat="1" applyFont="1"/>
    <xf numFmtId="0" fontId="6" fillId="0" borderId="0" xfId="5"/>
    <xf numFmtId="44" fontId="0" fillId="0" borderId="0" xfId="0" applyNumberForma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0" fillId="0" borderId="0" xfId="0" pivotButton="1"/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4" fontId="0" fillId="0" borderId="0" xfId="0" applyNumberFormat="1"/>
  </cellXfs>
  <cellStyles count="6">
    <cellStyle name="Lien hypertexte" xfId="5" builtinId="8"/>
    <cellStyle name="Monétaire" xfId="1" builtinId="4"/>
    <cellStyle name="Monétaire 2" xfId="3" xr:uid="{E1B546B1-C7DF-4E9D-AD28-2B82D5D858D0}"/>
    <cellStyle name="Monétaire 3" xfId="4" xr:uid="{F15C3635-3922-4EA1-AA20-9F165C15AD74}"/>
    <cellStyle name="Normal" xfId="0" builtinId="0"/>
    <cellStyle name="Pourcentage" xfId="2" builtinId="5"/>
  </cellStyles>
  <dxfs count="32">
    <dxf>
      <fill>
        <patternFill>
          <bgColor rgb="FFFF0000"/>
        </patternFill>
      </fill>
    </dxf>
    <dxf>
      <fill>
        <patternFill>
          <bgColor theme="2" tint="0.59996337778862885"/>
        </patternFill>
      </fill>
    </dxf>
    <dxf>
      <numFmt numFmtId="2" formatCode="0.00"/>
    </dxf>
    <dxf>
      <numFmt numFmtId="2" formatCode="0.00"/>
    </dxf>
    <dxf>
      <numFmt numFmtId="4" formatCode="#,##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colors>
    <mruColors>
      <color rgb="FF292929"/>
      <color rgb="FF9966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Feuil1!$B$2:$B$36</c:f>
              <c:numCache>
                <c:formatCode>0.0</c:formatCode>
                <c:ptCount val="35"/>
                <c:pt idx="0">
                  <c:v>14.440000000000001</c:v>
                </c:pt>
                <c:pt idx="1">
                  <c:v>12.391111111111115</c:v>
                </c:pt>
                <c:pt idx="2">
                  <c:v>12.639999999999999</c:v>
                </c:pt>
                <c:pt idx="3">
                  <c:v>14.516666666666667</c:v>
                </c:pt>
                <c:pt idx="4">
                  <c:v>19.392222222222216</c:v>
                </c:pt>
                <c:pt idx="5">
                  <c:v>18.827777777777779</c:v>
                </c:pt>
                <c:pt idx="6">
                  <c:v>19.849851851851327</c:v>
                </c:pt>
                <c:pt idx="7">
                  <c:v>21.130391534391038</c:v>
                </c:pt>
                <c:pt idx="8">
                  <c:v>22.410931216930749</c:v>
                </c:pt>
                <c:pt idx="9">
                  <c:v>23.69147089947046</c:v>
                </c:pt>
                <c:pt idx="10">
                  <c:v>25.091470899470458</c:v>
                </c:pt>
                <c:pt idx="11">
                  <c:v>26.291470899470458</c:v>
                </c:pt>
                <c:pt idx="12">
                  <c:v>27.391470899470459</c:v>
                </c:pt>
                <c:pt idx="13">
                  <c:v>28.291470899470458</c:v>
                </c:pt>
                <c:pt idx="14">
                  <c:v>29.091470899470458</c:v>
                </c:pt>
                <c:pt idx="15">
                  <c:v>29.561470899470457</c:v>
                </c:pt>
                <c:pt idx="16">
                  <c:v>29.911470899470459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5-4D46-9905-A3D0F0B62571}"/>
            </c:ext>
          </c:extLst>
        </c:ser>
        <c:ser>
          <c:idx val="1"/>
          <c:order val="1"/>
          <c:tx>
            <c:strRef>
              <c:f>Feuil1!$C$1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Feuil1!$A$2:$A$36</c:f>
              <c:numCache>
                <c:formatCode>General</c:formatCode>
                <c:ptCount val="3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</c:numCache>
            </c:numRef>
          </c:cat>
          <c:val>
            <c:numRef>
              <c:f>Feuil1!$C$2:$C$36</c:f>
              <c:numCache>
                <c:formatCode>General</c:formatCode>
                <c:ptCount val="35"/>
                <c:pt idx="5" formatCode="0.0">
                  <c:v>18.827777777777779</c:v>
                </c:pt>
                <c:pt idx="6" formatCode="0.0">
                  <c:v>20.662538727659761</c:v>
                </c:pt>
                <c:pt idx="7" formatCode="0.0">
                  <c:v>22.182788236122679</c:v>
                </c:pt>
                <c:pt idx="8" formatCode="0.0">
                  <c:v>23.703037744585593</c:v>
                </c:pt>
                <c:pt idx="9" formatCode="0.0">
                  <c:v>25.223287253048511</c:v>
                </c:pt>
                <c:pt idx="10" formatCode="0.0">
                  <c:v>26.743536761511429</c:v>
                </c:pt>
                <c:pt idx="11" formatCode="0.0">
                  <c:v>28.263786269974347</c:v>
                </c:pt>
                <c:pt idx="12" formatCode="0.0">
                  <c:v>29.784035778437264</c:v>
                </c:pt>
                <c:pt idx="13" formatCode="0.0">
                  <c:v>31.304285286900182</c:v>
                </c:pt>
                <c:pt idx="14" formatCode="0.0">
                  <c:v>32.8245347953631</c:v>
                </c:pt>
                <c:pt idx="15" formatCode="0.0">
                  <c:v>34.344784303826017</c:v>
                </c:pt>
                <c:pt idx="16" formatCode="0.0">
                  <c:v>35.865033812288928</c:v>
                </c:pt>
                <c:pt idx="17" formatCode="0.0">
                  <c:v>37.385283320751853</c:v>
                </c:pt>
                <c:pt idx="18" formatCode="0.0">
                  <c:v>38.905532829214764</c:v>
                </c:pt>
                <c:pt idx="19" formatCode="0.0">
                  <c:v>40.425782337677681</c:v>
                </c:pt>
                <c:pt idx="20" formatCode="0.0">
                  <c:v>41.946031846140599</c:v>
                </c:pt>
                <c:pt idx="21" formatCode="0.0">
                  <c:v>43.466281354603517</c:v>
                </c:pt>
                <c:pt idx="22" formatCode="0.0">
                  <c:v>44.986530863066434</c:v>
                </c:pt>
                <c:pt idx="23" formatCode="0.0">
                  <c:v>46.506780371529352</c:v>
                </c:pt>
                <c:pt idx="24" formatCode="0.0">
                  <c:v>48.02702987999227</c:v>
                </c:pt>
                <c:pt idx="25" formatCode="0.0">
                  <c:v>49.547279388455181</c:v>
                </c:pt>
                <c:pt idx="26" formatCode="0.0">
                  <c:v>51.067528896918105</c:v>
                </c:pt>
                <c:pt idx="27" formatCode="0.0">
                  <c:v>52.587778405381016</c:v>
                </c:pt>
                <c:pt idx="28" formatCode="0.0">
                  <c:v>54.108027913843941</c:v>
                </c:pt>
                <c:pt idx="29" formatCode="0.0">
                  <c:v>55.628277422306851</c:v>
                </c:pt>
                <c:pt idx="30" formatCode="0.0">
                  <c:v>57.148526930769776</c:v>
                </c:pt>
                <c:pt idx="31" formatCode="0.0">
                  <c:v>58.668776439232687</c:v>
                </c:pt>
                <c:pt idx="32" formatCode="0.0">
                  <c:v>60.189025947695598</c:v>
                </c:pt>
                <c:pt idx="33" formatCode="0.0">
                  <c:v>61.709275456158522</c:v>
                </c:pt>
                <c:pt idx="34" formatCode="0.0">
                  <c:v>63.229524964621433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5-4D46-9905-A3D0F0B62571}"/>
            </c:ext>
          </c:extLst>
        </c:ser>
        <c:ser>
          <c:idx val="2"/>
          <c:order val="2"/>
          <c:tx>
            <c:strRef>
              <c:f>Feuil1!$D$1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Feuil1!$A$2:$A$36</c:f>
              <c:numCache>
                <c:formatCode>General</c:formatCode>
                <c:ptCount val="3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</c:numCache>
            </c:numRef>
          </c:cat>
          <c:val>
            <c:numRef>
              <c:f>Feuil1!$D$2:$D$36</c:f>
              <c:numCache>
                <c:formatCode>General</c:formatCode>
                <c:ptCount val="35"/>
                <c:pt idx="5" formatCode="0.0">
                  <c:v>18.827777777777779</c:v>
                </c:pt>
                <c:pt idx="6" formatCode="0.0">
                  <c:v>16.277283065762536</c:v>
                </c:pt>
                <c:pt idx="7" formatCode="0.0">
                  <c:v>16.698586383267276</c:v>
                </c:pt>
                <c:pt idx="8" formatCode="0.0">
                  <c:v>17.303711522415355</c:v>
                </c:pt>
                <c:pt idx="9" formatCode="0.0">
                  <c:v>18.02223010247576</c:v>
                </c:pt>
                <c:pt idx="10" formatCode="0.0">
                  <c:v>18.819645521219503</c:v>
                </c:pt>
                <c:pt idx="11" formatCode="0.0">
                  <c:v>19.676010104681577</c:v>
                </c:pt>
                <c:pt idx="12" formatCode="0.0">
                  <c:v>20.578558942426227</c:v>
                </c:pt>
                <c:pt idx="13" formatCode="0.0">
                  <c:v>21.518540359281992</c:v>
                </c:pt>
                <c:pt idx="14" formatCode="0.0">
                  <c:v>22.489645441513535</c:v>
                </c:pt>
                <c:pt idx="15" formatCode="0.0">
                  <c:v>23.487148983785374</c:v>
                </c:pt>
                <c:pt idx="16" formatCode="0.0">
                  <c:v>24.507403662940753</c:v>
                </c:pt>
                <c:pt idx="17" formatCode="0.0">
                  <c:v>25.547524663961582</c:v>
                </c:pt>
                <c:pt idx="18" formatCode="0.0">
                  <c:v>26.605183833148846</c:v>
                </c:pt>
                <c:pt idx="19" formatCode="0.0">
                  <c:v>27.678470178005064</c:v>
                </c:pt>
                <c:pt idx="20" formatCode="0.0">
                  <c:v>28.765792315286077</c:v>
                </c:pt>
                <c:pt idx="21" formatCode="0.0">
                  <c:v>29.865808411737053</c:v>
                </c:pt>
                <c:pt idx="22" formatCode="0.0">
                  <c:v>30.977374703829025</c:v>
                </c:pt>
                <c:pt idx="23" formatCode="0.0">
                  <c:v>32.099506908989511</c:v>
                </c:pt>
                <c:pt idx="24" formatCode="0.0">
                  <c:v>33.231350790403553</c:v>
                </c:pt>
                <c:pt idx="25" formatCode="0.0">
                  <c:v>34.372159354402775</c:v>
                </c:pt>
                <c:pt idx="26" formatCode="0.0">
                  <c:v>35.52127494097244</c:v>
                </c:pt>
                <c:pt idx="27" formatCode="0.0">
                  <c:v>36.678114982555243</c:v>
                </c:pt>
                <c:pt idx="28" formatCode="0.0">
                  <c:v>37.842160552914038</c:v>
                </c:pt>
                <c:pt idx="29" formatCode="0.0">
                  <c:v>39.012947065946655</c:v>
                </c:pt>
                <c:pt idx="30" formatCode="0.0">
                  <c:v>40.19005665095402</c:v>
                </c:pt>
                <c:pt idx="31" formatCode="0.0">
                  <c:v>41.37311184935561</c:v>
                </c:pt>
                <c:pt idx="32" formatCode="0.0">
                  <c:v>42.561770363393194</c:v>
                </c:pt>
                <c:pt idx="33" formatCode="0.0">
                  <c:v>43.755720649973057</c:v>
                </c:pt>
                <c:pt idx="34" formatCode="0.0">
                  <c:v>44.954678199200451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5-4D46-9905-A3D0F0B62571}"/>
            </c:ext>
          </c:extLst>
        </c:ser>
        <c:ser>
          <c:idx val="3"/>
          <c:order val="3"/>
          <c:tx>
            <c:strRef>
              <c:f>Feuil1!$E$1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Feuil1!$A$2:$A$36</c:f>
              <c:numCache>
                <c:formatCode>General</c:formatCode>
                <c:ptCount val="3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</c:numCache>
            </c:numRef>
          </c:cat>
          <c:val>
            <c:numRef>
              <c:f>Feuil1!$E$2:$E$36</c:f>
              <c:numCache>
                <c:formatCode>General</c:formatCode>
                <c:ptCount val="35"/>
                <c:pt idx="5" formatCode="0.0">
                  <c:v>18.827777777777779</c:v>
                </c:pt>
                <c:pt idx="6" formatCode="0.0">
                  <c:v>25.047794389556987</c:v>
                </c:pt>
                <c:pt idx="7" formatCode="0.0">
                  <c:v>27.666990088978082</c:v>
                </c:pt>
                <c:pt idx="8" formatCode="0.0">
                  <c:v>30.102363966755831</c:v>
                </c:pt>
                <c:pt idx="9" formatCode="0.0">
                  <c:v>32.424344403621262</c:v>
                </c:pt>
                <c:pt idx="10" formatCode="0.0">
                  <c:v>34.667428001803358</c:v>
                </c:pt>
                <c:pt idx="11" formatCode="0.0">
                  <c:v>36.851562435267113</c:v>
                </c:pt>
                <c:pt idx="12" formatCode="0.0">
                  <c:v>38.989512614448302</c:v>
                </c:pt>
                <c:pt idx="13" formatCode="0.0">
                  <c:v>41.090030214518372</c:v>
                </c:pt>
                <c:pt idx="14" formatCode="0.0">
                  <c:v>43.159424149212668</c:v>
                </c:pt>
                <c:pt idx="15" formatCode="0.0">
                  <c:v>45.20241962386666</c:v>
                </c:pt>
                <c:pt idx="16" formatCode="0.0">
                  <c:v>47.222663961637103</c:v>
                </c:pt>
                <c:pt idx="17" formatCode="0.0">
                  <c:v>49.223041977542124</c:v>
                </c:pt>
                <c:pt idx="18" formatCode="0.0">
                  <c:v>51.205881825280684</c:v>
                </c:pt>
                <c:pt idx="19" formatCode="0.0">
                  <c:v>53.173094497350299</c:v>
                </c:pt>
                <c:pt idx="20" formatCode="0.0">
                  <c:v>55.12627137699512</c:v>
                </c:pt>
                <c:pt idx="21" formatCode="0.0">
                  <c:v>57.066754297469984</c:v>
                </c:pt>
                <c:pt idx="22" formatCode="0.0">
                  <c:v>58.995687022303841</c:v>
                </c:pt>
                <c:pt idx="23" formatCode="0.0">
                  <c:v>60.914053834069193</c:v>
                </c:pt>
                <c:pt idx="24" formatCode="0.0">
                  <c:v>62.822708969580987</c:v>
                </c:pt>
                <c:pt idx="25" formatCode="0.0">
                  <c:v>64.722399422507578</c:v>
                </c:pt>
                <c:pt idx="26" formatCode="0.0">
                  <c:v>66.613782852863764</c:v>
                </c:pt>
                <c:pt idx="27" formatCode="0.0">
                  <c:v>68.497441828206789</c:v>
                </c:pt>
                <c:pt idx="28" formatCode="0.0">
                  <c:v>70.373895274773844</c:v>
                </c:pt>
                <c:pt idx="29" formatCode="0.0">
                  <c:v>72.243607778667041</c:v>
                </c:pt>
                <c:pt idx="30" formatCode="0.0">
                  <c:v>74.106997210585533</c:v>
                </c:pt>
                <c:pt idx="31" formatCode="0.0">
                  <c:v>75.964441029109764</c:v>
                </c:pt>
                <c:pt idx="32" formatCode="0.0">
                  <c:v>77.816281531998001</c:v>
                </c:pt>
                <c:pt idx="33" formatCode="0.0">
                  <c:v>79.662830262343988</c:v>
                </c:pt>
                <c:pt idx="34" formatCode="0.0">
                  <c:v>81.504371730042408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45-4D46-9905-A3D0F0B62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434272"/>
        <c:axId val="1729441472"/>
      </c:lineChart>
      <c:catAx>
        <c:axId val="17294342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41472"/>
        <c:crosses val="autoZero"/>
        <c:auto val="1"/>
        <c:lblAlgn val="ctr"/>
        <c:lblOffset val="100"/>
        <c:noMultiLvlLbl val="0"/>
      </c:catAx>
      <c:valAx>
        <c:axId val="17294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3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Feuil2!$B$2:$B$19</c:f>
              <c:numCache>
                <c:formatCode>0.0</c:formatCode>
                <c:ptCount val="18"/>
                <c:pt idx="0">
                  <c:v>18.827777777777779</c:v>
                </c:pt>
                <c:pt idx="1">
                  <c:v>19.849851851851327</c:v>
                </c:pt>
                <c:pt idx="2">
                  <c:v>21.130391534391038</c:v>
                </c:pt>
                <c:pt idx="3">
                  <c:v>22.410931216930749</c:v>
                </c:pt>
                <c:pt idx="4">
                  <c:v>23.69147089947046</c:v>
                </c:pt>
                <c:pt idx="5">
                  <c:v>25.091470899470458</c:v>
                </c:pt>
                <c:pt idx="6">
                  <c:v>26.291470899470458</c:v>
                </c:pt>
                <c:pt idx="7">
                  <c:v>27.391470899470459</c:v>
                </c:pt>
                <c:pt idx="8">
                  <c:v>28.291470899470458</c:v>
                </c:pt>
                <c:pt idx="9">
                  <c:v>29.091470899470458</c:v>
                </c:pt>
                <c:pt idx="10">
                  <c:v>29.561470899470457</c:v>
                </c:pt>
                <c:pt idx="11">
                  <c:v>29.911470899470459</c:v>
                </c:pt>
                <c:pt idx="12">
                  <c:v>30.098613756613315</c:v>
                </c:pt>
                <c:pt idx="13">
                  <c:v>30.110399470899033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E-490B-8991-BC757E131D97}"/>
            </c:ext>
          </c:extLst>
        </c:ser>
        <c:ser>
          <c:idx val="1"/>
          <c:order val="1"/>
          <c:tx>
            <c:strRef>
              <c:f>Feuil2!$C$1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Feuil2!$A$2:$A$19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Feuil2!$C$2:$C$19</c:f>
              <c:numCache>
                <c:formatCode>General</c:formatCode>
                <c:ptCount val="18"/>
                <c:pt idx="13" formatCode="0.0">
                  <c:v>30.110399470899033</c:v>
                </c:pt>
                <c:pt idx="14" formatCode="0.0">
                  <c:v>30.14412346285971</c:v>
                </c:pt>
                <c:pt idx="15" formatCode="0.0">
                  <c:v>30.158750402954574</c:v>
                </c:pt>
                <c:pt idx="16" formatCode="0.0">
                  <c:v>30.173377343049435</c:v>
                </c:pt>
                <c:pt idx="17" formatCode="0.0">
                  <c:v>30.188004283144299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E-490B-8991-BC757E131D97}"/>
            </c:ext>
          </c:extLst>
        </c:ser>
        <c:ser>
          <c:idx val="2"/>
          <c:order val="2"/>
          <c:tx>
            <c:strRef>
              <c:f>Feuil2!$D$1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Feuil2!$A$2:$A$19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Feuil2!$D$2:$D$19</c:f>
              <c:numCache>
                <c:formatCode>General</c:formatCode>
                <c:ptCount val="18"/>
                <c:pt idx="13" formatCode="0.0">
                  <c:v>30.110399470899033</c:v>
                </c:pt>
                <c:pt idx="14" formatCode="0.0">
                  <c:v>29.805611091231288</c:v>
                </c:pt>
                <c:pt idx="15" formatCode="0.0">
                  <c:v>29.462006661325805</c:v>
                </c:pt>
                <c:pt idx="16" formatCode="0.0">
                  <c:v>29.02464744320875</c:v>
                </c:pt>
                <c:pt idx="17" formatCode="0.0">
                  <c:v>28.514026754546865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8E-490B-8991-BC757E131D97}"/>
            </c:ext>
          </c:extLst>
        </c:ser>
        <c:ser>
          <c:idx val="3"/>
          <c:order val="3"/>
          <c:tx>
            <c:strRef>
              <c:f>Feuil2!$E$1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Feuil2!$A$2:$A$19</c:f>
              <c:numCache>
                <c:formatCode>General</c:formatCode>
                <c:ptCount val="18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</c:numCache>
            </c:numRef>
          </c:cat>
          <c:val>
            <c:numRef>
              <c:f>Feuil2!$E$2:$E$19</c:f>
              <c:numCache>
                <c:formatCode>General</c:formatCode>
                <c:ptCount val="18"/>
                <c:pt idx="13" formatCode="0.0">
                  <c:v>30.110399470899033</c:v>
                </c:pt>
                <c:pt idx="14" formatCode="0.0">
                  <c:v>30.482635834488132</c:v>
                </c:pt>
                <c:pt idx="15" formatCode="0.0">
                  <c:v>30.855494144583343</c:v>
                </c:pt>
                <c:pt idx="16" formatCode="0.0">
                  <c:v>31.322107242890119</c:v>
                </c:pt>
                <c:pt idx="17" formatCode="0.0">
                  <c:v>31.861981811741732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8E-490B-8991-BC757E131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476992"/>
        <c:axId val="1729460672"/>
      </c:lineChart>
      <c:catAx>
        <c:axId val="17294769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60672"/>
        <c:crosses val="autoZero"/>
        <c:auto val="1"/>
        <c:lblAlgn val="ctr"/>
        <c:lblOffset val="100"/>
        <c:noMultiLvlLbl val="0"/>
      </c:catAx>
      <c:valAx>
        <c:axId val="17294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7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Feuil3!$B$1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Feuil3!$B$2:$B$37</c:f>
              <c:numCache>
                <c:formatCode>0.0</c:formatCode>
                <c:ptCount val="36"/>
                <c:pt idx="0">
                  <c:v>18.827777777777779</c:v>
                </c:pt>
                <c:pt idx="1">
                  <c:v>19.849851851851327</c:v>
                </c:pt>
                <c:pt idx="2">
                  <c:v>21.130391534391038</c:v>
                </c:pt>
                <c:pt idx="3">
                  <c:v>22.410931216930749</c:v>
                </c:pt>
                <c:pt idx="4">
                  <c:v>23.69147089947046</c:v>
                </c:pt>
                <c:pt idx="5">
                  <c:v>25.091470899470458</c:v>
                </c:pt>
                <c:pt idx="6">
                  <c:v>26.291470899470458</c:v>
                </c:pt>
                <c:pt idx="7">
                  <c:v>27.391470899470459</c:v>
                </c:pt>
                <c:pt idx="8">
                  <c:v>28.291470899470458</c:v>
                </c:pt>
                <c:pt idx="9">
                  <c:v>29.091470899470458</c:v>
                </c:pt>
                <c:pt idx="10">
                  <c:v>29.561470899470457</c:v>
                </c:pt>
                <c:pt idx="11">
                  <c:v>29.911470899470459</c:v>
                </c:pt>
                <c:pt idx="12">
                  <c:v>30.098613756613315</c:v>
                </c:pt>
                <c:pt idx="13">
                  <c:v>30.110399470899033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D-4CFD-93CC-B6644C9C385A}"/>
            </c:ext>
          </c:extLst>
        </c:ser>
        <c:ser>
          <c:idx val="1"/>
          <c:order val="1"/>
          <c:tx>
            <c:strRef>
              <c:f>Feuil3!$C$1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Feuil3!$A$2:$A$37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Feuil3!$C$2:$C$37</c:f>
              <c:numCache>
                <c:formatCode>General</c:formatCode>
                <c:ptCount val="36"/>
                <c:pt idx="13" formatCode="0.0">
                  <c:v>30.110399470899033</c:v>
                </c:pt>
                <c:pt idx="14" formatCode="0.0">
                  <c:v>30.14412346285971</c:v>
                </c:pt>
                <c:pt idx="15" formatCode="0.0">
                  <c:v>30.158750402954574</c:v>
                </c:pt>
                <c:pt idx="16" formatCode="0.0">
                  <c:v>30.173377343049435</c:v>
                </c:pt>
                <c:pt idx="17" formatCode="0.0">
                  <c:v>30.188004283144299</c:v>
                </c:pt>
                <c:pt idx="18" formatCode="0.0">
                  <c:v>30.202631223239162</c:v>
                </c:pt>
                <c:pt idx="19" formatCode="0.0">
                  <c:v>30.217258163334026</c:v>
                </c:pt>
                <c:pt idx="20" formatCode="0.0">
                  <c:v>30.23188510342889</c:v>
                </c:pt>
                <c:pt idx="21" formatCode="0.0">
                  <c:v>30.246512043523754</c:v>
                </c:pt>
                <c:pt idx="22" formatCode="0.0">
                  <c:v>30.261138983618615</c:v>
                </c:pt>
                <c:pt idx="23" formatCode="0.0">
                  <c:v>30.275765923713479</c:v>
                </c:pt>
                <c:pt idx="24" formatCode="0.0">
                  <c:v>30.290392863808343</c:v>
                </c:pt>
                <c:pt idx="25" formatCode="0.0">
                  <c:v>30.305019803903207</c:v>
                </c:pt>
                <c:pt idx="26" formatCode="0.0">
                  <c:v>30.319646743998071</c:v>
                </c:pt>
                <c:pt idx="27" formatCode="0.0">
                  <c:v>30.334273684092931</c:v>
                </c:pt>
                <c:pt idx="28" formatCode="0.0">
                  <c:v>30.348900624187795</c:v>
                </c:pt>
                <c:pt idx="29" formatCode="0.0">
                  <c:v>30.363527564282659</c:v>
                </c:pt>
                <c:pt idx="30" formatCode="0.0">
                  <c:v>30.378154504377523</c:v>
                </c:pt>
                <c:pt idx="31" formatCode="0.0">
                  <c:v>30.392781444472387</c:v>
                </c:pt>
                <c:pt idx="32" formatCode="0.0">
                  <c:v>30.407408384567251</c:v>
                </c:pt>
                <c:pt idx="33" formatCode="0.0">
                  <c:v>30.422035324662112</c:v>
                </c:pt>
                <c:pt idx="34" formatCode="0.0">
                  <c:v>30.436662264756976</c:v>
                </c:pt>
                <c:pt idx="35" formatCode="0.0">
                  <c:v>30.45128920485184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D-4CFD-93CC-B6644C9C385A}"/>
            </c:ext>
          </c:extLst>
        </c:ser>
        <c:ser>
          <c:idx val="2"/>
          <c:order val="2"/>
          <c:tx>
            <c:strRef>
              <c:f>Feuil3!$D$1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Feuil3!$A$2:$A$37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Feuil3!$D$2:$D$37</c:f>
              <c:numCache>
                <c:formatCode>General</c:formatCode>
                <c:ptCount val="36"/>
                <c:pt idx="13" formatCode="0.0">
                  <c:v>30.110399470899033</c:v>
                </c:pt>
                <c:pt idx="14" formatCode="0.0">
                  <c:v>29.805611091231288</c:v>
                </c:pt>
                <c:pt idx="15" formatCode="0.0">
                  <c:v>29.462006661325805</c:v>
                </c:pt>
                <c:pt idx="16" formatCode="0.0">
                  <c:v>29.02464744320875</c:v>
                </c:pt>
                <c:pt idx="17" formatCode="0.0">
                  <c:v>28.514026754546865</c:v>
                </c:pt>
                <c:pt idx="18" formatCode="0.0">
                  <c:v>27.940212714536877</c:v>
                </c:pt>
                <c:pt idx="19" formatCode="0.0">
                  <c:v>27.309713644976174</c:v>
                </c:pt>
                <c:pt idx="20" formatCode="0.0">
                  <c:v>26.627268877528028</c:v>
                </c:pt>
                <c:pt idx="21" formatCode="0.0">
                  <c:v>25.896559049003017</c:v>
                </c:pt>
                <c:pt idx="22" formatCode="0.0">
                  <c:v>25.120561350861234</c:v>
                </c:pt>
                <c:pt idx="23" formatCode="0.0">
                  <c:v>24.301753479446162</c:v>
                </c:pt>
                <c:pt idx="24" formatCode="0.0">
                  <c:v>23.442241695153989</c:v>
                </c:pt>
                <c:pt idx="25" formatCode="0.0">
                  <c:v>22.543846429439427</c:v>
                </c:pt>
                <c:pt idx="26" formatCode="0.0">
                  <c:v>21.608162234448194</c:v>
                </c:pt>
                <c:pt idx="27" formatCode="0.0">
                  <c:v>20.636601304583287</c:v>
                </c:pt>
                <c:pt idx="28" formatCode="0.0">
                  <c:v>19.630425997373948</c:v>
                </c:pt>
                <c:pt idx="29" formatCode="0.0">
                  <c:v>18.590773718524758</c:v>
                </c:pt>
                <c:pt idx="30" formatCode="0.0">
                  <c:v>17.518676347842309</c:v>
                </c:pt>
                <c:pt idx="31" formatCode="0.0">
                  <c:v>16.415075664227725</c:v>
                </c:pt>
                <c:pt idx="32" formatCode="0.0">
                  <c:v>15.280835775695142</c:v>
                </c:pt>
                <c:pt idx="33" formatCode="0.0">
                  <c:v>14.116753266009237</c:v>
                </c:pt>
                <c:pt idx="34" formatCode="0.0">
                  <c:v>12.923565572339513</c:v>
                </c:pt>
                <c:pt idx="35" formatCode="0.0">
                  <c:v>11.701957972903202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6D-4CFD-93CC-B6644C9C385A}"/>
            </c:ext>
          </c:extLst>
        </c:ser>
        <c:ser>
          <c:idx val="3"/>
          <c:order val="3"/>
          <c:tx>
            <c:strRef>
              <c:f>Feuil3!$E$1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Feuil3!$A$2:$A$37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cat>
          <c:val>
            <c:numRef>
              <c:f>Feuil3!$E$2:$E$37</c:f>
              <c:numCache>
                <c:formatCode>General</c:formatCode>
                <c:ptCount val="36"/>
                <c:pt idx="13" formatCode="0.0">
                  <c:v>30.110399470899033</c:v>
                </c:pt>
                <c:pt idx="14" formatCode="0.0">
                  <c:v>30.482635834488132</c:v>
                </c:pt>
                <c:pt idx="15" formatCode="0.0">
                  <c:v>30.855494144583343</c:v>
                </c:pt>
                <c:pt idx="16" formatCode="0.0">
                  <c:v>31.322107242890119</c:v>
                </c:pt>
                <c:pt idx="17" formatCode="0.0">
                  <c:v>31.861981811741732</c:v>
                </c:pt>
                <c:pt idx="18" formatCode="0.0">
                  <c:v>32.465049731941448</c:v>
                </c:pt>
                <c:pt idx="19" formatCode="0.0">
                  <c:v>33.124802681691882</c:v>
                </c:pt>
                <c:pt idx="20" formatCode="0.0">
                  <c:v>33.836501329329757</c:v>
                </c:pt>
                <c:pt idx="21" formatCode="0.0">
                  <c:v>34.596465038044492</c:v>
                </c:pt>
                <c:pt idx="22" formatCode="0.0">
                  <c:v>35.401716616376</c:v>
                </c:pt>
                <c:pt idx="23" formatCode="0.0">
                  <c:v>36.249778367980795</c:v>
                </c:pt>
                <c:pt idx="24" formatCode="0.0">
                  <c:v>37.138544032462697</c:v>
                </c:pt>
                <c:pt idx="25" formatCode="0.0">
                  <c:v>38.066193178366987</c:v>
                </c:pt>
                <c:pt idx="26" formatCode="0.0">
                  <c:v>39.031131253547947</c:v>
                </c:pt>
                <c:pt idx="27" formatCode="0.0">
                  <c:v>40.031946063602575</c:v>
                </c:pt>
                <c:pt idx="28" formatCode="0.0">
                  <c:v>41.067375251001643</c:v>
                </c:pt>
                <c:pt idx="29" formatCode="0.0">
                  <c:v>42.13628141004056</c:v>
                </c:pt>
                <c:pt idx="30" formatCode="0.0">
                  <c:v>43.237632660912737</c:v>
                </c:pt>
                <c:pt idx="31" formatCode="0.0">
                  <c:v>44.370487224717053</c:v>
                </c:pt>
                <c:pt idx="32" formatCode="0.0">
                  <c:v>45.533980993439357</c:v>
                </c:pt>
                <c:pt idx="33" formatCode="0.0">
                  <c:v>46.727317383314983</c:v>
                </c:pt>
                <c:pt idx="34" formatCode="0.0">
                  <c:v>47.949758957174438</c:v>
                </c:pt>
                <c:pt idx="35" formatCode="0.0">
                  <c:v>49.200620436800477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6D-4CFD-93CC-B6644C9C3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482272"/>
        <c:axId val="1729481792"/>
      </c:lineChart>
      <c:catAx>
        <c:axId val="17294822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81792"/>
        <c:crosses val="autoZero"/>
        <c:auto val="1"/>
        <c:lblAlgn val="ctr"/>
        <c:lblOffset val="100"/>
        <c:noMultiLvlLbl val="0"/>
      </c:catAx>
      <c:valAx>
        <c:axId val="1729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8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Feuil4!$B$1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Feuil4!$B$2:$B$54</c:f>
              <c:numCache>
                <c:formatCode>General</c:formatCode>
                <c:ptCount val="53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A-41D0-B9DC-CB327D852AFA}"/>
            </c:ext>
          </c:extLst>
        </c:ser>
        <c:ser>
          <c:idx val="1"/>
          <c:order val="1"/>
          <c:tx>
            <c:strRef>
              <c:f>Feuil4!$C$1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Feuil4!$A$2:$A$54</c:f>
              <c:numCache>
                <c:formatCode>General</c:formatCode>
                <c:ptCount val="5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</c:numCache>
            </c:numRef>
          </c:cat>
          <c:val>
            <c:numRef>
              <c:f>Feuil4!$C$2:$C$54</c:f>
              <c:numCache>
                <c:formatCode>General</c:formatCode>
                <c:ptCount val="53"/>
                <c:pt idx="14">
                  <c:v>29</c:v>
                </c:pt>
                <c:pt idx="15">
                  <c:v>28.293987515274843</c:v>
                </c:pt>
                <c:pt idx="16">
                  <c:v>28.929418497520651</c:v>
                </c:pt>
                <c:pt idx="17">
                  <c:v>29.564849479766462</c:v>
                </c:pt>
                <c:pt idx="18">
                  <c:v>30.200280462012273</c:v>
                </c:pt>
                <c:pt idx="19">
                  <c:v>30.835711444258084</c:v>
                </c:pt>
                <c:pt idx="20">
                  <c:v>31.471142426503892</c:v>
                </c:pt>
                <c:pt idx="21">
                  <c:v>32.106573408749703</c:v>
                </c:pt>
                <c:pt idx="22">
                  <c:v>32.742004390995511</c:v>
                </c:pt>
                <c:pt idx="23">
                  <c:v>33.377435373241326</c:v>
                </c:pt>
                <c:pt idx="24">
                  <c:v>34.012866355487134</c:v>
                </c:pt>
                <c:pt idx="25">
                  <c:v>34.648297337732942</c:v>
                </c:pt>
                <c:pt idx="26">
                  <c:v>35.283728319978756</c:v>
                </c:pt>
                <c:pt idx="27">
                  <c:v>35.919159302224564</c:v>
                </c:pt>
                <c:pt idx="28">
                  <c:v>36.554590284470379</c:v>
                </c:pt>
                <c:pt idx="29">
                  <c:v>37.190021266716187</c:v>
                </c:pt>
                <c:pt idx="30">
                  <c:v>37.825452248961994</c:v>
                </c:pt>
                <c:pt idx="31">
                  <c:v>38.460883231207802</c:v>
                </c:pt>
                <c:pt idx="32">
                  <c:v>39.096314213453617</c:v>
                </c:pt>
                <c:pt idx="33">
                  <c:v>39.731745195699425</c:v>
                </c:pt>
                <c:pt idx="34">
                  <c:v>40.36717617794524</c:v>
                </c:pt>
                <c:pt idx="35">
                  <c:v>41.002607160191047</c:v>
                </c:pt>
                <c:pt idx="36">
                  <c:v>41.638038142436855</c:v>
                </c:pt>
                <c:pt idx="37">
                  <c:v>42.27346912468267</c:v>
                </c:pt>
                <c:pt idx="38">
                  <c:v>42.908900106928478</c:v>
                </c:pt>
                <c:pt idx="39">
                  <c:v>43.544331089174293</c:v>
                </c:pt>
                <c:pt idx="40">
                  <c:v>44.1797620714201</c:v>
                </c:pt>
                <c:pt idx="41">
                  <c:v>44.815193053665908</c:v>
                </c:pt>
                <c:pt idx="42">
                  <c:v>45.450624035911716</c:v>
                </c:pt>
                <c:pt idx="43">
                  <c:v>46.086055018157531</c:v>
                </c:pt>
                <c:pt idx="44">
                  <c:v>46.721486000403345</c:v>
                </c:pt>
                <c:pt idx="45">
                  <c:v>47.356916982649153</c:v>
                </c:pt>
                <c:pt idx="46">
                  <c:v>47.992347964894961</c:v>
                </c:pt>
                <c:pt idx="47">
                  <c:v>48.627778947140769</c:v>
                </c:pt>
                <c:pt idx="48">
                  <c:v>49.263209929386576</c:v>
                </c:pt>
                <c:pt idx="49">
                  <c:v>49.898640911632391</c:v>
                </c:pt>
                <c:pt idx="50">
                  <c:v>50.534071893878206</c:v>
                </c:pt>
                <c:pt idx="51">
                  <c:v>51.169502876124014</c:v>
                </c:pt>
                <c:pt idx="52">
                  <c:v>51.804933858369822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A-41D0-B9DC-CB327D852AFA}"/>
            </c:ext>
          </c:extLst>
        </c:ser>
        <c:ser>
          <c:idx val="2"/>
          <c:order val="2"/>
          <c:tx>
            <c:strRef>
              <c:f>Feuil4!$D$1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Feuil4!$A$2:$A$54</c:f>
              <c:numCache>
                <c:formatCode>General</c:formatCode>
                <c:ptCount val="5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</c:numCache>
            </c:numRef>
          </c:cat>
          <c:val>
            <c:numRef>
              <c:f>Feuil4!$D$2:$D$54</c:f>
              <c:numCache>
                <c:formatCode>General</c:formatCode>
                <c:ptCount val="53"/>
                <c:pt idx="14" formatCode="0.00">
                  <c:v>29</c:v>
                </c:pt>
                <c:pt idx="15" formatCode="0.00">
                  <c:v>23.10672389346</c:v>
                </c:pt>
                <c:pt idx="16" formatCode="0.00">
                  <c:v>23.581249078505731</c:v>
                </c:pt>
                <c:pt idx="17" formatCode="0.00">
                  <c:v>24.059246609796467</c:v>
                </c:pt>
                <c:pt idx="18" formatCode="0.00">
                  <c:v>24.540421967348486</c:v>
                </c:pt>
                <c:pt idx="19" formatCode="0.00">
                  <c:v>25.024517453064703</c:v>
                </c:pt>
                <c:pt idx="20" formatCode="0.00">
                  <c:v>25.511306099202415</c:v>
                </c:pt>
                <c:pt idx="21" formatCode="0.00">
                  <c:v>26.000586811168077</c:v>
                </c:pt>
                <c:pt idx="22" formatCode="0.00">
                  <c:v>26.49218045239035</c:v>
                </c:pt>
                <c:pt idx="23" formatCode="0.00">
                  <c:v>26.98592665739206</c:v>
                </c:pt>
                <c:pt idx="24" formatCode="0.00">
                  <c:v>27.481681214266651</c:v>
                </c:pt>
                <c:pt idx="25" formatCode="0.00">
                  <c:v>27.979313897107509</c:v>
                </c:pt>
                <c:pt idx="26" formatCode="0.00">
                  <c:v>28.478706657449251</c:v>
                </c:pt>
                <c:pt idx="27" formatCode="0.00">
                  <c:v>28.979752104719449</c:v>
                </c:pt>
                <c:pt idx="28" formatCode="0.00">
                  <c:v>29.482352221267618</c:v>
                </c:pt>
                <c:pt idx="29" formatCode="0.00">
                  <c:v>29.98641726924464</c:v>
                </c:pt>
                <c:pt idx="30" formatCode="0.00">
                  <c:v>30.491864855501973</c:v>
                </c:pt>
                <c:pt idx="31" formatCode="0.00">
                  <c:v>30.998619127505428</c:v>
                </c:pt>
                <c:pt idx="32" formatCode="0.00">
                  <c:v>31.50661007854405</c:v>
                </c:pt>
                <c:pt idx="33" formatCode="0.00">
                  <c:v>32.015772944641313</c:v>
                </c:pt>
                <c:pt idx="34" formatCode="0.00">
                  <c:v>32.526047678824789</c:v>
                </c:pt>
                <c:pt idx="35" formatCode="0.00">
                  <c:v>33.037378490985645</c:v>
                </c:pt>
                <c:pt idx="36" formatCode="0.00">
                  <c:v>33.549713443616682</c:v>
                </c:pt>
                <c:pt idx="37" formatCode="0.00">
                  <c:v>34.063004095370047</c:v>
                </c:pt>
                <c:pt idx="38" formatCode="0.00">
                  <c:v>34.577205185713332</c:v>
                </c:pt>
                <c:pt idx="39" formatCode="0.00">
                  <c:v>35.092274355049604</c:v>
                </c:pt>
                <c:pt idx="40" formatCode="0.00">
                  <c:v>35.608171895556922</c:v>
                </c:pt>
                <c:pt idx="41" formatCode="0.00">
                  <c:v>36.12486052873426</c:v>
                </c:pt>
                <c:pt idx="42" formatCode="0.00">
                  <c:v>36.642305206244927</c:v>
                </c:pt>
                <c:pt idx="43" formatCode="0.00">
                  <c:v>37.160472931150835</c:v>
                </c:pt>
                <c:pt idx="44" formatCode="0.00">
                  <c:v>37.679332597049175</c:v>
                </c:pt>
                <c:pt idx="45" formatCode="0.00">
                  <c:v>38.198854842973851</c:v>
                </c:pt>
                <c:pt idx="46" formatCode="0.00">
                  <c:v>38.719011922218797</c:v>
                </c:pt>
                <c:pt idx="47" formatCode="0.00">
                  <c:v>39.239777583489122</c:v>
                </c:pt>
                <c:pt idx="48" formatCode="0.00">
                  <c:v>39.761126962997203</c:v>
                </c:pt>
                <c:pt idx="49" formatCode="0.00">
                  <c:v>40.283036486300091</c:v>
                </c:pt>
                <c:pt idx="50" formatCode="0.00">
                  <c:v>40.805483778827693</c:v>
                </c:pt>
                <c:pt idx="51" formatCode="0.00">
                  <c:v>41.328447584182463</c:v>
                </c:pt>
                <c:pt idx="52" formatCode="0.00">
                  <c:v>41.851907689403717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A-41D0-B9DC-CB327D852AFA}"/>
            </c:ext>
          </c:extLst>
        </c:ser>
        <c:ser>
          <c:idx val="3"/>
          <c:order val="3"/>
          <c:tx>
            <c:strRef>
              <c:f>Feuil4!$E$1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Feuil4!$A$2:$A$54</c:f>
              <c:numCache>
                <c:formatCode>General</c:formatCode>
                <c:ptCount val="5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</c:numCache>
            </c:numRef>
          </c:cat>
          <c:val>
            <c:numRef>
              <c:f>Feuil4!$E$2:$E$54</c:f>
              <c:numCache>
                <c:formatCode>General</c:formatCode>
                <c:ptCount val="53"/>
                <c:pt idx="14" formatCode="0.00">
                  <c:v>29</c:v>
                </c:pt>
                <c:pt idx="15" formatCode="0.00">
                  <c:v>33.481251137089686</c:v>
                </c:pt>
                <c:pt idx="16" formatCode="0.00">
                  <c:v>34.277587916535566</c:v>
                </c:pt>
                <c:pt idx="17" formatCode="0.00">
                  <c:v>35.070452349736456</c:v>
                </c:pt>
                <c:pt idx="18" formatCode="0.00">
                  <c:v>35.86013895667606</c:v>
                </c:pt>
                <c:pt idx="19" formatCode="0.00">
                  <c:v>36.646905435451465</c:v>
                </c:pt>
                <c:pt idx="20" formatCode="0.00">
                  <c:v>37.43097875380537</c:v>
                </c:pt>
                <c:pt idx="21" formatCode="0.00">
                  <c:v>38.21256000633133</c:v>
                </c:pt>
                <c:pt idx="22" formatCode="0.00">
                  <c:v>38.991828329600672</c:v>
                </c:pt>
                <c:pt idx="23" formatCode="0.00">
                  <c:v>39.768944089090596</c:v>
                </c:pt>
                <c:pt idx="24" formatCode="0.00">
                  <c:v>40.544051496707617</c:v>
                </c:pt>
                <c:pt idx="25" formatCode="0.00">
                  <c:v>41.317280778358374</c:v>
                </c:pt>
                <c:pt idx="26" formatCode="0.00">
                  <c:v>42.088749982508261</c:v>
                </c:pt>
                <c:pt idx="27" formatCode="0.00">
                  <c:v>42.858566499729683</c:v>
                </c:pt>
                <c:pt idx="28" formatCode="0.00">
                  <c:v>43.62682834767314</c:v>
                </c:pt>
                <c:pt idx="29" formatCode="0.00">
                  <c:v>44.393625264187733</c:v>
                </c:pt>
                <c:pt idx="30" formatCode="0.00">
                  <c:v>45.159039642422016</c:v>
                </c:pt>
                <c:pt idx="31" formatCode="0.00">
                  <c:v>45.923147334910176</c:v>
                </c:pt>
                <c:pt idx="32" formatCode="0.00">
                  <c:v>46.686018348363184</c:v>
                </c:pt>
                <c:pt idx="33" formatCode="0.00">
                  <c:v>47.447717446757537</c:v>
                </c:pt>
                <c:pt idx="34" formatCode="0.00">
                  <c:v>48.208304677065691</c:v>
                </c:pt>
                <c:pt idx="35" formatCode="0.00">
                  <c:v>48.967835829396449</c:v>
                </c:pt>
                <c:pt idx="36" formatCode="0.00">
                  <c:v>49.726362841257028</c:v>
                </c:pt>
                <c:pt idx="37" formatCode="0.00">
                  <c:v>50.483934153995293</c:v>
                </c:pt>
                <c:pt idx="38" formatCode="0.00">
                  <c:v>51.240595028143623</c:v>
                </c:pt>
                <c:pt idx="39" formatCode="0.00">
                  <c:v>51.996387823298981</c:v>
                </c:pt>
                <c:pt idx="40" formatCode="0.00">
                  <c:v>52.751352247283279</c:v>
                </c:pt>
                <c:pt idx="41" formatCode="0.00">
                  <c:v>53.505525578597556</c:v>
                </c:pt>
                <c:pt idx="42" formatCode="0.00">
                  <c:v>54.258942865578504</c:v>
                </c:pt>
                <c:pt idx="43" formatCode="0.00">
                  <c:v>55.011637105164226</c:v>
                </c:pt>
                <c:pt idx="44" formatCode="0.00">
                  <c:v>55.763639403757516</c:v>
                </c:pt>
                <c:pt idx="45" formatCode="0.00">
                  <c:v>56.514979122324455</c:v>
                </c:pt>
                <c:pt idx="46" formatCode="0.00">
                  <c:v>57.265684007571124</c:v>
                </c:pt>
                <c:pt idx="47" formatCode="0.00">
                  <c:v>58.015780310792415</c:v>
                </c:pt>
                <c:pt idx="48" formatCode="0.00">
                  <c:v>58.76529289577595</c:v>
                </c:pt>
                <c:pt idx="49" formatCode="0.00">
                  <c:v>59.514245336964692</c:v>
                </c:pt>
                <c:pt idx="50" formatCode="0.00">
                  <c:v>60.262660008928719</c:v>
                </c:pt>
                <c:pt idx="51" formatCode="0.00">
                  <c:v>61.010558168065565</c:v>
                </c:pt>
                <c:pt idx="52" formatCode="0.00">
                  <c:v>61.757960027335926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3A-41D0-B9DC-CB327D852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0562735"/>
        <c:axId val="1530560335"/>
      </c:lineChart>
      <c:catAx>
        <c:axId val="1530562735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560335"/>
        <c:crosses val="autoZero"/>
        <c:auto val="1"/>
        <c:lblAlgn val="ctr"/>
        <c:lblOffset val="100"/>
        <c:noMultiLvlLbl val="0"/>
      </c:catAx>
      <c:valAx>
        <c:axId val="153056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5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Feuil5!$B$1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Feuil5!$B$2:$B$51</c:f>
              <c:numCache>
                <c:formatCode>General</c:formatCode>
                <c:ptCount val="50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E-4463-BEA8-D6637127CD97}"/>
            </c:ext>
          </c:extLst>
        </c:ser>
        <c:ser>
          <c:idx val="1"/>
          <c:order val="1"/>
          <c:tx>
            <c:strRef>
              <c:f>Feuil5!$C$1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Feuil5!$A$2:$A$51</c:f>
              <c:numCache>
                <c:formatCode>General</c:formatCode>
                <c:ptCount val="5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</c:numCache>
            </c:numRef>
          </c:cat>
          <c:val>
            <c:numRef>
              <c:f>Feuil5!$C$2:$C$51</c:f>
              <c:numCache>
                <c:formatCode>General</c:formatCode>
                <c:ptCount val="50"/>
                <c:pt idx="15">
                  <c:v>27.7</c:v>
                </c:pt>
                <c:pt idx="16">
                  <c:v>28.812250560420338</c:v>
                </c:pt>
                <c:pt idx="17">
                  <c:v>29.455060455253701</c:v>
                </c:pt>
                <c:pt idx="18">
                  <c:v>30.097870350087064</c:v>
                </c:pt>
                <c:pt idx="19">
                  <c:v>30.740680244920426</c:v>
                </c:pt>
                <c:pt idx="20">
                  <c:v>31.383490139753789</c:v>
                </c:pt>
                <c:pt idx="21">
                  <c:v>32.026300034587152</c:v>
                </c:pt>
                <c:pt idx="22">
                  <c:v>32.669109929420515</c:v>
                </c:pt>
                <c:pt idx="23">
                  <c:v>33.311919824253877</c:v>
                </c:pt>
                <c:pt idx="24">
                  <c:v>33.95472971908724</c:v>
                </c:pt>
                <c:pt idx="25">
                  <c:v>34.597539613920603</c:v>
                </c:pt>
                <c:pt idx="26">
                  <c:v>35.240349508753965</c:v>
                </c:pt>
                <c:pt idx="27">
                  <c:v>35.883159403587328</c:v>
                </c:pt>
                <c:pt idx="28">
                  <c:v>36.525969298420691</c:v>
                </c:pt>
                <c:pt idx="29">
                  <c:v>37.168779193254053</c:v>
                </c:pt>
                <c:pt idx="30">
                  <c:v>37.811589088087416</c:v>
                </c:pt>
                <c:pt idx="31">
                  <c:v>38.454398982920779</c:v>
                </c:pt>
                <c:pt idx="32">
                  <c:v>39.097208877754142</c:v>
                </c:pt>
                <c:pt idx="33">
                  <c:v>39.740018772587504</c:v>
                </c:pt>
                <c:pt idx="34">
                  <c:v>40.382828667420867</c:v>
                </c:pt>
                <c:pt idx="35">
                  <c:v>41.02563856225423</c:v>
                </c:pt>
                <c:pt idx="36">
                  <c:v>41.668448457087592</c:v>
                </c:pt>
                <c:pt idx="37">
                  <c:v>42.311258351920955</c:v>
                </c:pt>
                <c:pt idx="38">
                  <c:v>42.954068246754318</c:v>
                </c:pt>
                <c:pt idx="39">
                  <c:v>43.59687814158768</c:v>
                </c:pt>
                <c:pt idx="40">
                  <c:v>44.239688036421043</c:v>
                </c:pt>
                <c:pt idx="41">
                  <c:v>44.882497931254406</c:v>
                </c:pt>
                <c:pt idx="42">
                  <c:v>45.525307826087769</c:v>
                </c:pt>
                <c:pt idx="43">
                  <c:v>46.168117720921131</c:v>
                </c:pt>
                <c:pt idx="44">
                  <c:v>46.810927615754494</c:v>
                </c:pt>
                <c:pt idx="45">
                  <c:v>47.453737510587857</c:v>
                </c:pt>
                <c:pt idx="46">
                  <c:v>48.096547405421219</c:v>
                </c:pt>
                <c:pt idx="47">
                  <c:v>48.739357300254582</c:v>
                </c:pt>
                <c:pt idx="48">
                  <c:v>49.382167195087945</c:v>
                </c:pt>
                <c:pt idx="49">
                  <c:v>50.024977089921308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0E-4463-BEA8-D6637127CD97}"/>
            </c:ext>
          </c:extLst>
        </c:ser>
        <c:ser>
          <c:idx val="2"/>
          <c:order val="2"/>
          <c:tx>
            <c:strRef>
              <c:f>Feuil5!$D$1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Feuil5!$A$2:$A$51</c:f>
              <c:numCache>
                <c:formatCode>General</c:formatCode>
                <c:ptCount val="5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</c:numCache>
            </c:numRef>
          </c:cat>
          <c:val>
            <c:numRef>
              <c:f>Feuil5!$D$2:$D$51</c:f>
              <c:numCache>
                <c:formatCode>General</c:formatCode>
                <c:ptCount val="50"/>
                <c:pt idx="15" formatCode="0.00">
                  <c:v>27.7</c:v>
                </c:pt>
                <c:pt idx="16" formatCode="0.00">
                  <c:v>23.778021591282425</c:v>
                </c:pt>
                <c:pt idx="17" formatCode="0.00">
                  <c:v>24.264672731785225</c:v>
                </c:pt>
                <c:pt idx="18" formatCode="0.00">
                  <c:v>24.75469377737323</c:v>
                </c:pt>
                <c:pt idx="19" formatCode="0.00">
                  <c:v>25.247798896991362</c:v>
                </c:pt>
                <c:pt idx="20" formatCode="0.00">
                  <c:v>25.74373799515185</c:v>
                </c:pt>
                <c:pt idx="21" formatCode="0.00">
                  <c:v>26.242290800114407</c:v>
                </c:pt>
                <c:pt idx="22" formatCode="0.00">
                  <c:v>26.743262149978221</c:v>
                </c:pt>
                <c:pt idx="23" formatCode="0.00">
                  <c:v>27.246478193059147</c:v>
                </c:pt>
                <c:pt idx="24" formatCode="0.00">
                  <c:v>27.751783294982339</c:v>
                </c:pt>
                <c:pt idx="25" formatCode="0.00">
                  <c:v>28.259037498380952</c:v>
                </c:pt>
                <c:pt idx="26" formatCode="0.00">
                  <c:v>28.768114419273111</c:v>
                </c:pt>
                <c:pt idx="27" formatCode="0.00">
                  <c:v>29.278899491859271</c:v>
                </c:pt>
                <c:pt idx="28" formatCode="0.00">
                  <c:v>29.791288493803709</c:v>
                </c:pt>
                <c:pt idx="29" formatCode="0.00">
                  <c:v>30.305186299172686</c:v>
                </c:pt>
                <c:pt idx="30" formatCode="0.00">
                  <c:v>30.820505817563138</c:v>
                </c:pt>
                <c:pt idx="31" formatCode="0.00">
                  <c:v>31.337167086589208</c:v>
                </c:pt>
                <c:pt idx="32" formatCode="0.00">
                  <c:v>31.855096491518189</c:v>
                </c:pt>
                <c:pt idx="33" formatCode="0.00">
                  <c:v>32.374226090977125</c:v>
                </c:pt>
                <c:pt idx="34" formatCode="0.00">
                  <c:v>32.894493031656346</c:v>
                </c:pt>
                <c:pt idx="35" formatCode="0.00">
                  <c:v>33.415839038089224</c:v>
                </c:pt>
                <c:pt idx="36" formatCode="0.00">
                  <c:v>33.938209966086731</c:v>
                </c:pt>
                <c:pt idx="37" formatCode="0.00">
                  <c:v>34.461555410402006</c:v>
                </c:pt>
                <c:pt idx="38" formatCode="0.00">
                  <c:v>34.985828358803872</c:v>
                </c:pt>
                <c:pt idx="39" formatCode="0.00">
                  <c:v>35.510984886036141</c:v>
                </c:pt>
                <c:pt idx="40" formatCode="0.00">
                  <c:v>36.036983882194718</c:v>
                </c:pt>
                <c:pt idx="41" formatCode="0.00">
                  <c:v>36.563786810917861</c:v>
                </c:pt>
                <c:pt idx="42" formatCode="0.00">
                  <c:v>37.091357493494868</c:v>
                </c:pt>
                <c:pt idx="43" formatCode="0.00">
                  <c:v>37.619661915585098</c:v>
                </c:pt>
                <c:pt idx="44" formatCode="0.00">
                  <c:v>38.148668053726126</c:v>
                </c:pt>
                <c:pt idx="45" formatCode="0.00">
                  <c:v>38.678345719216253</c:v>
                </c:pt>
                <c:pt idx="46" formatCode="0.00">
                  <c:v>39.208666417296612</c:v>
                </c:pt>
                <c:pt idx="47" formatCode="0.00">
                  <c:v>39.739603219844469</c:v>
                </c:pt>
                <c:pt idx="48" formatCode="0.00">
                  <c:v>40.271130650030642</c:v>
                </c:pt>
                <c:pt idx="49" formatCode="0.00">
                  <c:v>40.803224577598975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0E-4463-BEA8-D6637127CD97}"/>
            </c:ext>
          </c:extLst>
        </c:ser>
        <c:ser>
          <c:idx val="3"/>
          <c:order val="3"/>
          <c:tx>
            <c:strRef>
              <c:f>Feuil5!$E$1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Feuil5!$A$2:$A$51</c:f>
              <c:numCache>
                <c:formatCode>General</c:formatCode>
                <c:ptCount val="5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</c:numCache>
            </c:numRef>
          </c:cat>
          <c:val>
            <c:numRef>
              <c:f>Feuil5!$E$2:$E$51</c:f>
              <c:numCache>
                <c:formatCode>General</c:formatCode>
                <c:ptCount val="50"/>
                <c:pt idx="15" formatCode="0.00">
                  <c:v>27.7</c:v>
                </c:pt>
                <c:pt idx="16" formatCode="0.00">
                  <c:v>33.846479529558252</c:v>
                </c:pt>
                <c:pt idx="17" formatCode="0.00">
                  <c:v>34.645448178722177</c:v>
                </c:pt>
                <c:pt idx="18" formatCode="0.00">
                  <c:v>35.441046922800894</c:v>
                </c:pt>
                <c:pt idx="19" formatCode="0.00">
                  <c:v>36.23356159284949</c:v>
                </c:pt>
                <c:pt idx="20" formatCode="0.00">
                  <c:v>37.023242284355732</c:v>
                </c:pt>
                <c:pt idx="21" formatCode="0.00">
                  <c:v>37.8103092690599</c:v>
                </c:pt>
                <c:pt idx="22" formatCode="0.00">
                  <c:v>38.594957708862808</c:v>
                </c:pt>
                <c:pt idx="23" formatCode="0.00">
                  <c:v>39.377361455448607</c:v>
                </c:pt>
                <c:pt idx="24" formatCode="0.00">
                  <c:v>40.157676143192141</c:v>
                </c:pt>
                <c:pt idx="25" formatCode="0.00">
                  <c:v>40.93604172946025</c:v>
                </c:pt>
                <c:pt idx="26" formatCode="0.00">
                  <c:v>41.71258459823482</c:v>
                </c:pt>
                <c:pt idx="27" formatCode="0.00">
                  <c:v>42.487419315315385</c:v>
                </c:pt>
                <c:pt idx="28" formatCode="0.00">
                  <c:v>43.260650103037669</c:v>
                </c:pt>
                <c:pt idx="29" formatCode="0.00">
                  <c:v>44.032372087335425</c:v>
                </c:pt>
                <c:pt idx="30" formatCode="0.00">
                  <c:v>44.802672358611694</c:v>
                </c:pt>
                <c:pt idx="31" formatCode="0.00">
                  <c:v>45.571630879252353</c:v>
                </c:pt>
                <c:pt idx="32" formatCode="0.00">
                  <c:v>46.339321263990094</c:v>
                </c:pt>
                <c:pt idx="33" formatCode="0.00">
                  <c:v>47.105811454197884</c:v>
                </c:pt>
                <c:pt idx="34" formatCode="0.00">
                  <c:v>47.871164303185388</c:v>
                </c:pt>
                <c:pt idx="35" formatCode="0.00">
                  <c:v>48.635438086419235</c:v>
                </c:pt>
                <c:pt idx="36" formatCode="0.00">
                  <c:v>49.398686948088454</c:v>
                </c:pt>
                <c:pt idx="37" formatCode="0.00">
                  <c:v>50.160961293439904</c:v>
                </c:pt>
                <c:pt idx="38" formatCode="0.00">
                  <c:v>50.922308134704764</c:v>
                </c:pt>
                <c:pt idx="39" formatCode="0.00">
                  <c:v>51.68277139713922</c:v>
                </c:pt>
                <c:pt idx="40" formatCode="0.00">
                  <c:v>52.442392190647368</c:v>
                </c:pt>
                <c:pt idx="41" formatCode="0.00">
                  <c:v>53.201209051590951</c:v>
                </c:pt>
                <c:pt idx="42" formatCode="0.00">
                  <c:v>53.959258158680669</c:v>
                </c:pt>
                <c:pt idx="43" formatCode="0.00">
                  <c:v>54.716573526257164</c:v>
                </c:pt>
                <c:pt idx="44" formatCode="0.00">
                  <c:v>55.473187177782862</c:v>
                </c:pt>
                <c:pt idx="45" formatCode="0.00">
                  <c:v>56.22912930195946</c:v>
                </c:pt>
                <c:pt idx="46" formatCode="0.00">
                  <c:v>56.984428393545826</c:v>
                </c:pt>
                <c:pt idx="47" formatCode="0.00">
                  <c:v>57.739111380664696</c:v>
                </c:pt>
                <c:pt idx="48" formatCode="0.00">
                  <c:v>58.493203740145248</c:v>
                </c:pt>
                <c:pt idx="49" formatCode="0.00">
                  <c:v>59.24672960224364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0E-4463-BEA8-D6637127C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844976"/>
        <c:axId val="1620834896"/>
      </c:lineChart>
      <c:catAx>
        <c:axId val="16208449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34896"/>
        <c:crosses val="autoZero"/>
        <c:auto val="1"/>
        <c:lblAlgn val="ctr"/>
        <c:lblOffset val="100"/>
        <c:noMultiLvlLbl val="0"/>
      </c:catAx>
      <c:valAx>
        <c:axId val="162083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4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Feuil6!$B$1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Feuil6!$B$2:$B$55</c:f>
              <c:numCache>
                <c:formatCode>General</c:formatCode>
                <c:ptCount val="54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9-4047-A843-B194DC050829}"/>
            </c:ext>
          </c:extLst>
        </c:ser>
        <c:ser>
          <c:idx val="1"/>
          <c:order val="1"/>
          <c:tx>
            <c:strRef>
              <c:f>Feuil6!$C$1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Feuil6!$A$2:$A$55</c:f>
              <c:numCache>
                <c:formatCode>General</c:formatCode>
                <c:ptCount val="5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</c:numCache>
            </c:numRef>
          </c:cat>
          <c:val>
            <c:numRef>
              <c:f>Feuil6!$C$2:$C$55</c:f>
              <c:numCache>
                <c:formatCode>General</c:formatCode>
                <c:ptCount val="54"/>
                <c:pt idx="15">
                  <c:v>27.7</c:v>
                </c:pt>
                <c:pt idx="16">
                  <c:v>28.812250560420338</c:v>
                </c:pt>
                <c:pt idx="17">
                  <c:v>29.455060455253701</c:v>
                </c:pt>
                <c:pt idx="18">
                  <c:v>30.097870350087064</c:v>
                </c:pt>
                <c:pt idx="19">
                  <c:v>30.740680244920426</c:v>
                </c:pt>
                <c:pt idx="20">
                  <c:v>31.383490139753789</c:v>
                </c:pt>
                <c:pt idx="21">
                  <c:v>32.026300034587152</c:v>
                </c:pt>
                <c:pt idx="22">
                  <c:v>32.669109929420515</c:v>
                </c:pt>
                <c:pt idx="23">
                  <c:v>33.311919824253877</c:v>
                </c:pt>
                <c:pt idx="24">
                  <c:v>33.95472971908724</c:v>
                </c:pt>
                <c:pt idx="25">
                  <c:v>34.597539613920603</c:v>
                </c:pt>
                <c:pt idx="26">
                  <c:v>35.240349508753965</c:v>
                </c:pt>
                <c:pt idx="27">
                  <c:v>35.883159403587328</c:v>
                </c:pt>
                <c:pt idx="28">
                  <c:v>36.525969298420691</c:v>
                </c:pt>
                <c:pt idx="29">
                  <c:v>37.168779193254053</c:v>
                </c:pt>
                <c:pt idx="30">
                  <c:v>37.811589088087416</c:v>
                </c:pt>
                <c:pt idx="31">
                  <c:v>38.454398982920779</c:v>
                </c:pt>
                <c:pt idx="32">
                  <c:v>39.097208877754142</c:v>
                </c:pt>
                <c:pt idx="33">
                  <c:v>39.740018772587504</c:v>
                </c:pt>
                <c:pt idx="34">
                  <c:v>40.382828667420867</c:v>
                </c:pt>
                <c:pt idx="35">
                  <c:v>41.02563856225423</c:v>
                </c:pt>
                <c:pt idx="36">
                  <c:v>41.668448457087592</c:v>
                </c:pt>
                <c:pt idx="37">
                  <c:v>42.311258351920955</c:v>
                </c:pt>
                <c:pt idx="38">
                  <c:v>42.954068246754318</c:v>
                </c:pt>
                <c:pt idx="39">
                  <c:v>43.59687814158768</c:v>
                </c:pt>
                <c:pt idx="40">
                  <c:v>44.239688036421043</c:v>
                </c:pt>
                <c:pt idx="41">
                  <c:v>44.882497931254406</c:v>
                </c:pt>
                <c:pt idx="42">
                  <c:v>45.525307826087769</c:v>
                </c:pt>
                <c:pt idx="43">
                  <c:v>46.168117720921131</c:v>
                </c:pt>
                <c:pt idx="44">
                  <c:v>46.810927615754494</c:v>
                </c:pt>
                <c:pt idx="45">
                  <c:v>47.453737510587857</c:v>
                </c:pt>
                <c:pt idx="46">
                  <c:v>48.096547405421219</c:v>
                </c:pt>
                <c:pt idx="47">
                  <c:v>48.739357300254582</c:v>
                </c:pt>
                <c:pt idx="48">
                  <c:v>49.382167195087945</c:v>
                </c:pt>
                <c:pt idx="49">
                  <c:v>50.024977089921308</c:v>
                </c:pt>
                <c:pt idx="50">
                  <c:v>50.66778698475467</c:v>
                </c:pt>
                <c:pt idx="51">
                  <c:v>51.310596879588033</c:v>
                </c:pt>
                <c:pt idx="52">
                  <c:v>51.953406774421396</c:v>
                </c:pt>
                <c:pt idx="53">
                  <c:v>52.596216669254758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9-4047-A843-B194DC050829}"/>
            </c:ext>
          </c:extLst>
        </c:ser>
        <c:ser>
          <c:idx val="2"/>
          <c:order val="2"/>
          <c:tx>
            <c:strRef>
              <c:f>Feuil6!$D$1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Feuil6!$A$2:$A$55</c:f>
              <c:numCache>
                <c:formatCode>General</c:formatCode>
                <c:ptCount val="5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</c:numCache>
            </c:numRef>
          </c:cat>
          <c:val>
            <c:numRef>
              <c:f>Feuil6!$D$2:$D$55</c:f>
              <c:numCache>
                <c:formatCode>General</c:formatCode>
                <c:ptCount val="54"/>
                <c:pt idx="15" formatCode="0.00">
                  <c:v>27.7</c:v>
                </c:pt>
                <c:pt idx="16" formatCode="0.00">
                  <c:v>23.778021591282425</c:v>
                </c:pt>
                <c:pt idx="17" formatCode="0.00">
                  <c:v>24.264672731785225</c:v>
                </c:pt>
                <c:pt idx="18" formatCode="0.00">
                  <c:v>24.75469377737323</c:v>
                </c:pt>
                <c:pt idx="19" formatCode="0.00">
                  <c:v>25.247798896991362</c:v>
                </c:pt>
                <c:pt idx="20" formatCode="0.00">
                  <c:v>25.74373799515185</c:v>
                </c:pt>
                <c:pt idx="21" formatCode="0.00">
                  <c:v>26.242290800114407</c:v>
                </c:pt>
                <c:pt idx="22" formatCode="0.00">
                  <c:v>26.743262149978221</c:v>
                </c:pt>
                <c:pt idx="23" formatCode="0.00">
                  <c:v>27.246478193059147</c:v>
                </c:pt>
                <c:pt idx="24" formatCode="0.00">
                  <c:v>27.751783294982339</c:v>
                </c:pt>
                <c:pt idx="25" formatCode="0.00">
                  <c:v>28.259037498380952</c:v>
                </c:pt>
                <c:pt idx="26" formatCode="0.00">
                  <c:v>28.768114419273111</c:v>
                </c:pt>
                <c:pt idx="27" formatCode="0.00">
                  <c:v>29.278899491859271</c:v>
                </c:pt>
                <c:pt idx="28" formatCode="0.00">
                  <c:v>29.791288493803709</c:v>
                </c:pt>
                <c:pt idx="29" formatCode="0.00">
                  <c:v>30.305186299172686</c:v>
                </c:pt>
                <c:pt idx="30" formatCode="0.00">
                  <c:v>30.820505817563138</c:v>
                </c:pt>
                <c:pt idx="31" formatCode="0.00">
                  <c:v>31.337167086589208</c:v>
                </c:pt>
                <c:pt idx="32" formatCode="0.00">
                  <c:v>31.855096491518189</c:v>
                </c:pt>
                <c:pt idx="33" formatCode="0.00">
                  <c:v>32.374226090977125</c:v>
                </c:pt>
                <c:pt idx="34" formatCode="0.00">
                  <c:v>32.894493031656346</c:v>
                </c:pt>
                <c:pt idx="35" formatCode="0.00">
                  <c:v>33.415839038089224</c:v>
                </c:pt>
                <c:pt idx="36" formatCode="0.00">
                  <c:v>33.938209966086731</c:v>
                </c:pt>
                <c:pt idx="37" formatCode="0.00">
                  <c:v>34.461555410402006</c:v>
                </c:pt>
                <c:pt idx="38" formatCode="0.00">
                  <c:v>34.985828358803872</c:v>
                </c:pt>
                <c:pt idx="39" formatCode="0.00">
                  <c:v>35.510984886036141</c:v>
                </c:pt>
                <c:pt idx="40" formatCode="0.00">
                  <c:v>36.036983882194718</c:v>
                </c:pt>
                <c:pt idx="41" formatCode="0.00">
                  <c:v>36.563786810917861</c:v>
                </c:pt>
                <c:pt idx="42" formatCode="0.00">
                  <c:v>37.091357493494868</c:v>
                </c:pt>
                <c:pt idx="43" formatCode="0.00">
                  <c:v>37.619661915585098</c:v>
                </c:pt>
                <c:pt idx="44" formatCode="0.00">
                  <c:v>38.148668053726126</c:v>
                </c:pt>
                <c:pt idx="45" formatCode="0.00">
                  <c:v>38.678345719216253</c:v>
                </c:pt>
                <c:pt idx="46" formatCode="0.00">
                  <c:v>39.208666417296612</c:v>
                </c:pt>
                <c:pt idx="47" formatCode="0.00">
                  <c:v>39.739603219844469</c:v>
                </c:pt>
                <c:pt idx="48" formatCode="0.00">
                  <c:v>40.271130650030642</c:v>
                </c:pt>
                <c:pt idx="49" formatCode="0.00">
                  <c:v>40.803224577598975</c:v>
                </c:pt>
                <c:pt idx="50" formatCode="0.00">
                  <c:v>41.335862123599732</c:v>
                </c:pt>
                <c:pt idx="51" formatCode="0.00">
                  <c:v>41.869021573557397</c:v>
                </c:pt>
                <c:pt idx="52" formatCode="0.00">
                  <c:v>42.402682298180679</c:v>
                </c:pt>
                <c:pt idx="53" formatCode="0.00">
                  <c:v>42.936824680831663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9-4047-A843-B194DC050829}"/>
            </c:ext>
          </c:extLst>
        </c:ser>
        <c:ser>
          <c:idx val="3"/>
          <c:order val="3"/>
          <c:tx>
            <c:strRef>
              <c:f>Feuil6!$E$1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Feuil6!$A$2:$A$55</c:f>
              <c:numCache>
                <c:formatCode>General</c:formatCode>
                <c:ptCount val="5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</c:numCache>
            </c:numRef>
          </c:cat>
          <c:val>
            <c:numRef>
              <c:f>Feuil6!$E$2:$E$55</c:f>
              <c:numCache>
                <c:formatCode>General</c:formatCode>
                <c:ptCount val="54"/>
                <c:pt idx="15" formatCode="0.00">
                  <c:v>27.7</c:v>
                </c:pt>
                <c:pt idx="16" formatCode="0.00">
                  <c:v>33.846479529558252</c:v>
                </c:pt>
                <c:pt idx="17" formatCode="0.00">
                  <c:v>34.645448178722177</c:v>
                </c:pt>
                <c:pt idx="18" formatCode="0.00">
                  <c:v>35.441046922800894</c:v>
                </c:pt>
                <c:pt idx="19" formatCode="0.00">
                  <c:v>36.23356159284949</c:v>
                </c:pt>
                <c:pt idx="20" formatCode="0.00">
                  <c:v>37.023242284355732</c:v>
                </c:pt>
                <c:pt idx="21" formatCode="0.00">
                  <c:v>37.8103092690599</c:v>
                </c:pt>
                <c:pt idx="22" formatCode="0.00">
                  <c:v>38.594957708862808</c:v>
                </c:pt>
                <c:pt idx="23" formatCode="0.00">
                  <c:v>39.377361455448607</c:v>
                </c:pt>
                <c:pt idx="24" formatCode="0.00">
                  <c:v>40.157676143192141</c:v>
                </c:pt>
                <c:pt idx="25" formatCode="0.00">
                  <c:v>40.93604172946025</c:v>
                </c:pt>
                <c:pt idx="26" formatCode="0.00">
                  <c:v>41.71258459823482</c:v>
                </c:pt>
                <c:pt idx="27" formatCode="0.00">
                  <c:v>42.487419315315385</c:v>
                </c:pt>
                <c:pt idx="28" formatCode="0.00">
                  <c:v>43.260650103037669</c:v>
                </c:pt>
                <c:pt idx="29" formatCode="0.00">
                  <c:v>44.032372087335425</c:v>
                </c:pt>
                <c:pt idx="30" formatCode="0.00">
                  <c:v>44.802672358611694</c:v>
                </c:pt>
                <c:pt idx="31" formatCode="0.00">
                  <c:v>45.571630879252353</c:v>
                </c:pt>
                <c:pt idx="32" formatCode="0.00">
                  <c:v>46.339321263990094</c:v>
                </c:pt>
                <c:pt idx="33" formatCode="0.00">
                  <c:v>47.105811454197884</c:v>
                </c:pt>
                <c:pt idx="34" formatCode="0.00">
                  <c:v>47.871164303185388</c:v>
                </c:pt>
                <c:pt idx="35" formatCode="0.00">
                  <c:v>48.635438086419235</c:v>
                </c:pt>
                <c:pt idx="36" formatCode="0.00">
                  <c:v>49.398686948088454</c:v>
                </c:pt>
                <c:pt idx="37" formatCode="0.00">
                  <c:v>50.160961293439904</c:v>
                </c:pt>
                <c:pt idx="38" formatCode="0.00">
                  <c:v>50.922308134704764</c:v>
                </c:pt>
                <c:pt idx="39" formatCode="0.00">
                  <c:v>51.68277139713922</c:v>
                </c:pt>
                <c:pt idx="40" formatCode="0.00">
                  <c:v>52.442392190647368</c:v>
                </c:pt>
                <c:pt idx="41" formatCode="0.00">
                  <c:v>53.201209051590951</c:v>
                </c:pt>
                <c:pt idx="42" formatCode="0.00">
                  <c:v>53.959258158680669</c:v>
                </c:pt>
                <c:pt idx="43" formatCode="0.00">
                  <c:v>54.716573526257164</c:v>
                </c:pt>
                <c:pt idx="44" formatCode="0.00">
                  <c:v>55.473187177782862</c:v>
                </c:pt>
                <c:pt idx="45" formatCode="0.00">
                  <c:v>56.22912930195946</c:v>
                </c:pt>
                <c:pt idx="46" formatCode="0.00">
                  <c:v>56.984428393545826</c:v>
                </c:pt>
                <c:pt idx="47" formatCode="0.00">
                  <c:v>57.739111380664696</c:v>
                </c:pt>
                <c:pt idx="48" formatCode="0.00">
                  <c:v>58.493203740145248</c:v>
                </c:pt>
                <c:pt idx="49" formatCode="0.00">
                  <c:v>59.24672960224364</c:v>
                </c:pt>
                <c:pt idx="50" formatCode="0.00">
                  <c:v>59.999711845909609</c:v>
                </c:pt>
                <c:pt idx="51" formatCode="0.00">
                  <c:v>60.752172185618669</c:v>
                </c:pt>
                <c:pt idx="52" formatCode="0.00">
                  <c:v>61.504131250662113</c:v>
                </c:pt>
                <c:pt idx="53" formatCode="0.00">
                  <c:v>62.255608657677854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F9-4047-A843-B194DC05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869936"/>
        <c:axId val="1620872336"/>
      </c:lineChart>
      <c:catAx>
        <c:axId val="162086993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72336"/>
        <c:crosses val="autoZero"/>
        <c:auto val="1"/>
        <c:lblAlgn val="ctr"/>
        <c:lblOffset val="100"/>
        <c:noMultiLvlLbl val="0"/>
      </c:catAx>
      <c:valAx>
        <c:axId val="162087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6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Feuil7!$B$1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Feuil7!$B$2:$B$66</c:f>
              <c:numCache>
                <c:formatCode>General</c:formatCode>
                <c:ptCount val="65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F-428C-8580-CF1B587C1D42}"/>
            </c:ext>
          </c:extLst>
        </c:ser>
        <c:ser>
          <c:idx val="1"/>
          <c:order val="1"/>
          <c:tx>
            <c:strRef>
              <c:f>Feuil7!$C$1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Feuil7!$A$2:$A$66</c:f>
              <c:numCache>
                <c:formatCode>General</c:formatCode>
                <c:ptCount val="6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</c:numCache>
            </c:numRef>
          </c:cat>
          <c:val>
            <c:numRef>
              <c:f>Feuil7!$C$2:$C$66</c:f>
              <c:numCache>
                <c:formatCode>General</c:formatCode>
                <c:ptCount val="65"/>
                <c:pt idx="14">
                  <c:v>29</c:v>
                </c:pt>
                <c:pt idx="15">
                  <c:v>27.352626779448308</c:v>
                </c:pt>
                <c:pt idx="16">
                  <c:v>26.901431066421004</c:v>
                </c:pt>
                <c:pt idx="17">
                  <c:v>27.090516592578794</c:v>
                </c:pt>
                <c:pt idx="18">
                  <c:v>26.870174074954246</c:v>
                </c:pt>
                <c:pt idx="19">
                  <c:v>28.870561755015114</c:v>
                </c:pt>
                <c:pt idx="20">
                  <c:v>32.123324319966336</c:v>
                </c:pt>
                <c:pt idx="21">
                  <c:v>34.52086652815693</c:v>
                </c:pt>
                <c:pt idx="22">
                  <c:v>32.666435125093919</c:v>
                </c:pt>
                <c:pt idx="23">
                  <c:v>31.298280669138236</c:v>
                </c:pt>
                <c:pt idx="24">
                  <c:v>30.84708495611093</c:v>
                </c:pt>
                <c:pt idx="25">
                  <c:v>31.036170482268723</c:v>
                </c:pt>
                <c:pt idx="26">
                  <c:v>30.815827964644175</c:v>
                </c:pt>
                <c:pt idx="27">
                  <c:v>32.816215644705039</c:v>
                </c:pt>
                <c:pt idx="28">
                  <c:v>36.068978209656265</c:v>
                </c:pt>
                <c:pt idx="29">
                  <c:v>38.466520417846858</c:v>
                </c:pt>
                <c:pt idx="30">
                  <c:v>36.612089014783855</c:v>
                </c:pt>
                <c:pt idx="31">
                  <c:v>35.243934558828172</c:v>
                </c:pt>
                <c:pt idx="32">
                  <c:v>34.792738845800862</c:v>
                </c:pt>
                <c:pt idx="33">
                  <c:v>34.981824371958659</c:v>
                </c:pt>
                <c:pt idx="34">
                  <c:v>34.761481854334107</c:v>
                </c:pt>
                <c:pt idx="35">
                  <c:v>36.761869534394968</c:v>
                </c:pt>
                <c:pt idx="36">
                  <c:v>40.014632099346194</c:v>
                </c:pt>
                <c:pt idx="37">
                  <c:v>42.412174307536787</c:v>
                </c:pt>
                <c:pt idx="38">
                  <c:v>40.557742904473784</c:v>
                </c:pt>
                <c:pt idx="39">
                  <c:v>39.189588448518101</c:v>
                </c:pt>
                <c:pt idx="40">
                  <c:v>38.738392735490798</c:v>
                </c:pt>
                <c:pt idx="41">
                  <c:v>38.927478261648581</c:v>
                </c:pt>
                <c:pt idx="42">
                  <c:v>38.707135744024043</c:v>
                </c:pt>
                <c:pt idx="43">
                  <c:v>40.707523424084897</c:v>
                </c:pt>
                <c:pt idx="44">
                  <c:v>43.960285989036123</c:v>
                </c:pt>
                <c:pt idx="45">
                  <c:v>46.357828197226716</c:v>
                </c:pt>
                <c:pt idx="46">
                  <c:v>44.503396794163713</c:v>
                </c:pt>
                <c:pt idx="47">
                  <c:v>43.13524233820803</c:v>
                </c:pt>
                <c:pt idx="48">
                  <c:v>42.684046625180727</c:v>
                </c:pt>
                <c:pt idx="49">
                  <c:v>42.873132151338517</c:v>
                </c:pt>
                <c:pt idx="50">
                  <c:v>42.652789633713965</c:v>
                </c:pt>
                <c:pt idx="51">
                  <c:v>44.653177313774833</c:v>
                </c:pt>
                <c:pt idx="52">
                  <c:v>47.905939878726052</c:v>
                </c:pt>
                <c:pt idx="53">
                  <c:v>50.303482086916645</c:v>
                </c:pt>
                <c:pt idx="54">
                  <c:v>48.449050683853642</c:v>
                </c:pt>
                <c:pt idx="55">
                  <c:v>47.080896227897959</c:v>
                </c:pt>
                <c:pt idx="56">
                  <c:v>46.629700514870656</c:v>
                </c:pt>
                <c:pt idx="57">
                  <c:v>46.818786041028446</c:v>
                </c:pt>
                <c:pt idx="58">
                  <c:v>46.598443523403901</c:v>
                </c:pt>
                <c:pt idx="59">
                  <c:v>48.598831203464755</c:v>
                </c:pt>
                <c:pt idx="60">
                  <c:v>51.851593768415988</c:v>
                </c:pt>
                <c:pt idx="61">
                  <c:v>54.249135976606574</c:v>
                </c:pt>
                <c:pt idx="62">
                  <c:v>52.394704573543578</c:v>
                </c:pt>
                <c:pt idx="63">
                  <c:v>51.026550117587888</c:v>
                </c:pt>
                <c:pt idx="64">
                  <c:v>50.575354404560585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F-428C-8580-CF1B587C1D42}"/>
            </c:ext>
          </c:extLst>
        </c:ser>
        <c:ser>
          <c:idx val="2"/>
          <c:order val="2"/>
          <c:tx>
            <c:strRef>
              <c:f>Feuil7!$D$1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Feuil7!$A$2:$A$66</c:f>
              <c:numCache>
                <c:formatCode>General</c:formatCode>
                <c:ptCount val="6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</c:numCache>
            </c:numRef>
          </c:cat>
          <c:val>
            <c:numRef>
              <c:f>Feuil7!$D$2:$D$66</c:f>
              <c:numCache>
                <c:formatCode>General</c:formatCode>
                <c:ptCount val="65"/>
                <c:pt idx="14" formatCode="0.00">
                  <c:v>29</c:v>
                </c:pt>
                <c:pt idx="15" formatCode="0.00">
                  <c:v>23.531354535717536</c:v>
                </c:pt>
                <c:pt idx="16" formatCode="0.00">
                  <c:v>22.625695503679587</c:v>
                </c:pt>
                <c:pt idx="17" formatCode="0.00">
                  <c:v>22.402619113276945</c:v>
                </c:pt>
                <c:pt idx="18" formatCode="0.00">
                  <c:v>21.802082196662258</c:v>
                </c:pt>
                <c:pt idx="19" formatCode="0.00">
                  <c:v>23.447512673748324</c:v>
                </c:pt>
                <c:pt idx="20" formatCode="0.00">
                  <c:v>26.365883036397236</c:v>
                </c:pt>
                <c:pt idx="21" formatCode="0.00">
                  <c:v>28.446198563666687</c:v>
                </c:pt>
                <c:pt idx="22" formatCode="0.00">
                  <c:v>26.289141594351715</c:v>
                </c:pt>
                <c:pt idx="23" formatCode="0.00">
                  <c:v>24.629856222900106</c:v>
                </c:pt>
                <c:pt idx="24" formatCode="0.00">
                  <c:v>23.899718806761506</c:v>
                </c:pt>
                <c:pt idx="25" formatCode="0.00">
                  <c:v>23.819605025129178</c:v>
                </c:pt>
                <c:pt idx="26" formatCode="0.00">
                  <c:v>23.338751293137477</c:v>
                </c:pt>
                <c:pt idx="27" formatCode="0.00">
                  <c:v>25.086435487378477</c:v>
                </c:pt>
                <c:pt idx="28" formatCode="0.00">
                  <c:v>28.093558259054788</c:v>
                </c:pt>
                <c:pt idx="29" formatCode="0.00">
                  <c:v>30.25188889358537</c:v>
                </c:pt>
                <c:pt idx="30" formatCode="0.00">
                  <c:v>28.164126327978337</c:v>
                </c:pt>
                <c:pt idx="31" formatCode="0.00">
                  <c:v>26.567174032957155</c:v>
                </c:pt>
                <c:pt idx="32" formatCode="0.00">
                  <c:v>25.893060599427642</c:v>
                </c:pt>
                <c:pt idx="33" formatCode="0.00">
                  <c:v>25.863846802635386</c:v>
                </c:pt>
                <c:pt idx="34" formatCode="0.00">
                  <c:v>25.429497680285294</c:v>
                </c:pt>
                <c:pt idx="35" formatCode="0.00">
                  <c:v>27.219881109372778</c:v>
                </c:pt>
                <c:pt idx="36" formatCode="0.00">
                  <c:v>30.266381610432546</c:v>
                </c:pt>
                <c:pt idx="37" formatCode="0.00">
                  <c:v>32.46116977015545</c:v>
                </c:pt>
                <c:pt idx="38" formatCode="0.00">
                  <c:v>30.40728067693771</c:v>
                </c:pt>
                <c:pt idx="39" formatCode="0.00">
                  <c:v>28.842031248020639</c:v>
                </c:pt>
                <c:pt idx="40" formatCode="0.00">
                  <c:v>28.197425199135463</c:v>
                </c:pt>
                <c:pt idx="41" formatCode="0.00">
                  <c:v>28.19586937847404</c:v>
                </c:pt>
                <c:pt idx="42" formatCode="0.00">
                  <c:v>27.787508136884185</c:v>
                </c:pt>
                <c:pt idx="43" formatCode="0.00">
                  <c:v>29.60236519116085</c:v>
                </c:pt>
                <c:pt idx="44" formatCode="0.00">
                  <c:v>32.67196125395327</c:v>
                </c:pt>
                <c:pt idx="45" formatCode="0.00">
                  <c:v>34.888586543043033</c:v>
                </c:pt>
                <c:pt idx="46" formatCode="0.00">
                  <c:v>32.855381728296933</c:v>
                </c:pt>
                <c:pt idx="47" formatCode="0.00">
                  <c:v>31.30984012304323</c:v>
                </c:pt>
                <c:pt idx="48" formatCode="0.00">
                  <c:v>30.683879121091891</c:v>
                </c:pt>
                <c:pt idx="49" formatCode="0.00">
                  <c:v>30.700067115370665</c:v>
                </c:pt>
                <c:pt idx="50" formatCode="0.00">
                  <c:v>30.30861515804294</c:v>
                </c:pt>
                <c:pt idx="51" formatCode="0.00">
                  <c:v>32.139606972815081</c:v>
                </c:pt>
                <c:pt idx="52" formatCode="0.00">
                  <c:v>35.224617425954619</c:v>
                </c:pt>
                <c:pt idx="53" formatCode="0.00">
                  <c:v>37.455985750699881</c:v>
                </c:pt>
                <c:pt idx="54" formatCode="0.00">
                  <c:v>35.436897105133269</c:v>
                </c:pt>
                <c:pt idx="55" formatCode="0.00">
                  <c:v>33.904943951331191</c:v>
                </c:pt>
                <c:pt idx="56" formatCode="0.00">
                  <c:v>33.291960975033909</c:v>
                </c:pt>
                <c:pt idx="57" formatCode="0.00">
                  <c:v>33.320611461753757</c:v>
                </c:pt>
                <c:pt idx="58" formatCode="0.00">
                  <c:v>32.941137404744666</c:v>
                </c:pt>
                <c:pt idx="59" formatCode="0.00">
                  <c:v>34.783650944947098</c:v>
                </c:pt>
                <c:pt idx="60" formatCode="0.00">
                  <c:v>37.879753100611055</c:v>
                </c:pt>
                <c:pt idx="61" formatCode="0.00">
                  <c:v>40.121807218607579</c:v>
                </c:pt>
                <c:pt idx="62" formatCode="0.00">
                  <c:v>38.113020732001921</c:v>
                </c:pt>
                <c:pt idx="63" formatCode="0.00">
                  <c:v>36.591050987946893</c:v>
                </c:pt>
                <c:pt idx="64" formatCode="0.00">
                  <c:v>35.987661753082769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F-428C-8580-CF1B587C1D42}"/>
            </c:ext>
          </c:extLst>
        </c:ser>
        <c:ser>
          <c:idx val="3"/>
          <c:order val="3"/>
          <c:tx>
            <c:strRef>
              <c:f>Feuil7!$E$1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Feuil7!$A$2:$A$66</c:f>
              <c:numCache>
                <c:formatCode>General</c:formatCode>
                <c:ptCount val="6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</c:numCache>
            </c:numRef>
          </c:cat>
          <c:val>
            <c:numRef>
              <c:f>Feuil7!$E$2:$E$66</c:f>
              <c:numCache>
                <c:formatCode>General</c:formatCode>
                <c:ptCount val="65"/>
                <c:pt idx="14" formatCode="0.00">
                  <c:v>29</c:v>
                </c:pt>
                <c:pt idx="15" formatCode="0.00">
                  <c:v>31.173899023179079</c:v>
                </c:pt>
                <c:pt idx="16" formatCode="0.00">
                  <c:v>31.177166629162421</c:v>
                </c:pt>
                <c:pt idx="17" formatCode="0.00">
                  <c:v>31.778414071880643</c:v>
                </c:pt>
                <c:pt idx="18" formatCode="0.00">
                  <c:v>31.938265953246233</c:v>
                </c:pt>
                <c:pt idx="19" formatCode="0.00">
                  <c:v>34.293610836281907</c:v>
                </c:pt>
                <c:pt idx="20" formatCode="0.00">
                  <c:v>37.880765603535437</c:v>
                </c:pt>
                <c:pt idx="21" formatCode="0.00">
                  <c:v>40.595534492647175</c:v>
                </c:pt>
                <c:pt idx="22" formatCode="0.00">
                  <c:v>39.043728655836119</c:v>
                </c:pt>
                <c:pt idx="23" formatCode="0.00">
                  <c:v>37.966705115376364</c:v>
                </c:pt>
                <c:pt idx="24" formatCode="0.00">
                  <c:v>37.794451105460354</c:v>
                </c:pt>
                <c:pt idx="25" formatCode="0.00">
                  <c:v>38.252735939408268</c:v>
                </c:pt>
                <c:pt idx="26" formatCode="0.00">
                  <c:v>38.292904636150872</c:v>
                </c:pt>
                <c:pt idx="27" formatCode="0.00">
                  <c:v>40.545995802031598</c:v>
                </c:pt>
                <c:pt idx="28" formatCode="0.00">
                  <c:v>44.044398160257742</c:v>
                </c:pt>
                <c:pt idx="29" formatCode="0.00">
                  <c:v>46.681151942108343</c:v>
                </c:pt>
                <c:pt idx="30" formatCode="0.00">
                  <c:v>45.060051701589373</c:v>
                </c:pt>
                <c:pt idx="31" formatCode="0.00">
                  <c:v>43.92069508469919</c:v>
                </c:pt>
                <c:pt idx="32" formatCode="0.00">
                  <c:v>43.692417092174082</c:v>
                </c:pt>
                <c:pt idx="33" formatCode="0.00">
                  <c:v>44.099801941281932</c:v>
                </c:pt>
                <c:pt idx="34" formatCode="0.00">
                  <c:v>44.09346602838292</c:v>
                </c:pt>
                <c:pt idx="35" formatCode="0.00">
                  <c:v>46.303857959417158</c:v>
                </c:pt>
                <c:pt idx="36" formatCode="0.00">
                  <c:v>49.762882588259842</c:v>
                </c:pt>
                <c:pt idx="37" formatCode="0.00">
                  <c:v>52.363178844918124</c:v>
                </c:pt>
                <c:pt idx="38" formatCode="0.00">
                  <c:v>50.708205132009859</c:v>
                </c:pt>
                <c:pt idx="39" formatCode="0.00">
                  <c:v>49.537145649015564</c:v>
                </c:pt>
                <c:pt idx="40" formatCode="0.00">
                  <c:v>49.27936027184613</c:v>
                </c:pt>
                <c:pt idx="41" formatCode="0.00">
                  <c:v>49.659087144823118</c:v>
                </c:pt>
                <c:pt idx="42" formatCode="0.00">
                  <c:v>49.626763351163902</c:v>
                </c:pt>
                <c:pt idx="43" formatCode="0.00">
                  <c:v>51.812681657008945</c:v>
                </c:pt>
                <c:pt idx="44" formatCode="0.00">
                  <c:v>55.248610724118976</c:v>
                </c:pt>
                <c:pt idx="45" formatCode="0.00">
                  <c:v>57.8270698514104</c:v>
                </c:pt>
                <c:pt idx="46" formatCode="0.00">
                  <c:v>56.151411860030493</c:v>
                </c:pt>
                <c:pt idx="47" formatCode="0.00">
                  <c:v>54.960644553372831</c:v>
                </c:pt>
                <c:pt idx="48" formatCode="0.00">
                  <c:v>54.684214129269563</c:v>
                </c:pt>
                <c:pt idx="49" formatCode="0.00">
                  <c:v>55.046197187306369</c:v>
                </c:pt>
                <c:pt idx="50" formatCode="0.00">
                  <c:v>54.99696410938499</c:v>
                </c:pt>
                <c:pt idx="51" formatCode="0.00">
                  <c:v>57.166747654734586</c:v>
                </c:pt>
                <c:pt idx="52" formatCode="0.00">
                  <c:v>60.587262331497485</c:v>
                </c:pt>
                <c:pt idx="53" formatCode="0.00">
                  <c:v>63.150978423133409</c:v>
                </c:pt>
                <c:pt idx="54" formatCode="0.00">
                  <c:v>61.461204262574014</c:v>
                </c:pt>
                <c:pt idx="55" formatCode="0.00">
                  <c:v>60.256848504464728</c:v>
                </c:pt>
                <c:pt idx="56" formatCode="0.00">
                  <c:v>59.967440054707403</c:v>
                </c:pt>
                <c:pt idx="57" formatCode="0.00">
                  <c:v>60.316960620303135</c:v>
                </c:pt>
                <c:pt idx="58" formatCode="0.00">
                  <c:v>60.255749642063137</c:v>
                </c:pt>
                <c:pt idx="59" formatCode="0.00">
                  <c:v>62.414011461982412</c:v>
                </c:pt>
                <c:pt idx="60" formatCode="0.00">
                  <c:v>65.823434436220921</c:v>
                </c:pt>
                <c:pt idx="61" formatCode="0.00">
                  <c:v>68.376464734605563</c:v>
                </c:pt>
                <c:pt idx="62" formatCode="0.00">
                  <c:v>66.676388415085228</c:v>
                </c:pt>
                <c:pt idx="63" formatCode="0.00">
                  <c:v>65.46204924722889</c:v>
                </c:pt>
                <c:pt idx="64" formatCode="0.00">
                  <c:v>65.163047056038394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DF-428C-8580-CF1B587C1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876176"/>
        <c:axId val="1620865616"/>
      </c:lineChart>
      <c:catAx>
        <c:axId val="162087617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65616"/>
        <c:crosses val="autoZero"/>
        <c:auto val="1"/>
        <c:lblAlgn val="ctr"/>
        <c:lblOffset val="100"/>
        <c:noMultiLvlLbl val="0"/>
      </c:catAx>
      <c:valAx>
        <c:axId val="16208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7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Feuil8!$B$1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Feuil8!$B$2:$B$67</c:f>
              <c:numCache>
                <c:formatCode>General</c:formatCode>
                <c:ptCount val="66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A-4812-96A7-522965B48E9A}"/>
            </c:ext>
          </c:extLst>
        </c:ser>
        <c:ser>
          <c:idx val="1"/>
          <c:order val="1"/>
          <c:tx>
            <c:strRef>
              <c:f>Feuil8!$C$1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Feuil8!$A$2:$A$67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Feuil8!$C$2:$C$67</c:f>
              <c:numCache>
                <c:formatCode>General</c:formatCode>
                <c:ptCount val="66"/>
                <c:pt idx="15">
                  <c:v>27.7</c:v>
                </c:pt>
                <c:pt idx="16">
                  <c:v>28.509370630992013</c:v>
                </c:pt>
                <c:pt idx="17">
                  <c:v>29.762725971583215</c:v>
                </c:pt>
                <c:pt idx="18">
                  <c:v>31.243639148603229</c:v>
                </c:pt>
                <c:pt idx="19">
                  <c:v>31.917710028929129</c:v>
                </c:pt>
                <c:pt idx="20">
                  <c:v>30.589880843211962</c:v>
                </c:pt>
                <c:pt idx="21">
                  <c:v>31.196972450183669</c:v>
                </c:pt>
                <c:pt idx="22">
                  <c:v>32.003797182842469</c:v>
                </c:pt>
                <c:pt idx="23">
                  <c:v>33.25715252343366</c:v>
                </c:pt>
                <c:pt idx="24">
                  <c:v>34.738065700453674</c:v>
                </c:pt>
                <c:pt idx="25">
                  <c:v>35.412136580779574</c:v>
                </c:pt>
                <c:pt idx="26">
                  <c:v>34.08430739506241</c:v>
                </c:pt>
                <c:pt idx="27">
                  <c:v>34.691399002034117</c:v>
                </c:pt>
                <c:pt idx="28">
                  <c:v>35.498223734692914</c:v>
                </c:pt>
                <c:pt idx="29">
                  <c:v>36.751579075284113</c:v>
                </c:pt>
                <c:pt idx="30">
                  <c:v>38.23249225230412</c:v>
                </c:pt>
                <c:pt idx="31">
                  <c:v>38.906563132630026</c:v>
                </c:pt>
                <c:pt idx="32">
                  <c:v>37.578733946912863</c:v>
                </c:pt>
                <c:pt idx="33">
                  <c:v>38.185825553884563</c:v>
                </c:pt>
                <c:pt idx="34">
                  <c:v>38.992650286543366</c:v>
                </c:pt>
                <c:pt idx="35">
                  <c:v>40.246005627134558</c:v>
                </c:pt>
                <c:pt idx="36">
                  <c:v>41.726918804154572</c:v>
                </c:pt>
                <c:pt idx="37">
                  <c:v>42.400989684480479</c:v>
                </c:pt>
                <c:pt idx="38">
                  <c:v>41.073160498763308</c:v>
                </c:pt>
                <c:pt idx="39">
                  <c:v>41.680252105735015</c:v>
                </c:pt>
                <c:pt idx="40">
                  <c:v>42.487076838393811</c:v>
                </c:pt>
                <c:pt idx="41">
                  <c:v>43.74043217898501</c:v>
                </c:pt>
                <c:pt idx="42">
                  <c:v>45.221345356005024</c:v>
                </c:pt>
                <c:pt idx="43">
                  <c:v>45.895416236330924</c:v>
                </c:pt>
                <c:pt idx="44">
                  <c:v>44.567587050613753</c:v>
                </c:pt>
                <c:pt idx="45">
                  <c:v>45.17467865758546</c:v>
                </c:pt>
                <c:pt idx="46">
                  <c:v>45.981503390244264</c:v>
                </c:pt>
                <c:pt idx="47">
                  <c:v>47.234858730835462</c:v>
                </c:pt>
                <c:pt idx="48">
                  <c:v>48.715771907855469</c:v>
                </c:pt>
                <c:pt idx="49">
                  <c:v>49.389842788181369</c:v>
                </c:pt>
                <c:pt idx="50">
                  <c:v>48.062013602464205</c:v>
                </c:pt>
                <c:pt idx="51">
                  <c:v>48.669105209435912</c:v>
                </c:pt>
                <c:pt idx="52">
                  <c:v>49.475929942094716</c:v>
                </c:pt>
                <c:pt idx="53">
                  <c:v>50.729285282685908</c:v>
                </c:pt>
                <c:pt idx="54">
                  <c:v>52.210198459705914</c:v>
                </c:pt>
                <c:pt idx="55">
                  <c:v>52.884269340031821</c:v>
                </c:pt>
                <c:pt idx="56">
                  <c:v>51.556440154314657</c:v>
                </c:pt>
                <c:pt idx="57">
                  <c:v>52.163531761286364</c:v>
                </c:pt>
                <c:pt idx="58">
                  <c:v>52.970356493945161</c:v>
                </c:pt>
                <c:pt idx="59">
                  <c:v>54.223711834536353</c:v>
                </c:pt>
                <c:pt idx="60">
                  <c:v>55.704625011556367</c:v>
                </c:pt>
                <c:pt idx="61">
                  <c:v>56.378695891882273</c:v>
                </c:pt>
                <c:pt idx="62">
                  <c:v>55.05086670616511</c:v>
                </c:pt>
                <c:pt idx="63">
                  <c:v>55.65795831313681</c:v>
                </c:pt>
                <c:pt idx="64">
                  <c:v>56.464783045795606</c:v>
                </c:pt>
                <c:pt idx="65">
                  <c:v>57.718138386386805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A-4812-96A7-522965B48E9A}"/>
            </c:ext>
          </c:extLst>
        </c:ser>
        <c:ser>
          <c:idx val="2"/>
          <c:order val="2"/>
          <c:tx>
            <c:strRef>
              <c:f>Feuil8!$D$1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Feuil8!$A$2:$A$67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Feuil8!$D$2:$D$67</c:f>
              <c:numCache>
                <c:formatCode>General</c:formatCode>
                <c:ptCount val="66"/>
                <c:pt idx="15" formatCode="0.00">
                  <c:v>27.7</c:v>
                </c:pt>
                <c:pt idx="16" formatCode="0.00">
                  <c:v>23.843198721075403</c:v>
                </c:pt>
                <c:pt idx="17" formatCode="0.00">
                  <c:v>23.927210187074721</c:v>
                </c:pt>
                <c:pt idx="18" formatCode="0.00">
                  <c:v>24.434376801658374</c:v>
                </c:pt>
                <c:pt idx="19" formatCode="0.00">
                  <c:v>24.255358460772328</c:v>
                </c:pt>
                <c:pt idx="20" formatCode="0.00">
                  <c:v>22.15839096590615</c:v>
                </c:pt>
                <c:pt idx="21" formatCode="0.00">
                  <c:v>22.059069668523769</c:v>
                </c:pt>
                <c:pt idx="22" formatCode="0.00">
                  <c:v>21.732833086327538</c:v>
                </c:pt>
                <c:pt idx="23" formatCode="0.00">
                  <c:v>22.395762593752384</c:v>
                </c:pt>
                <c:pt idx="24" formatCode="0.00">
                  <c:v>23.315287348620497</c:v>
                </c:pt>
                <c:pt idx="25" formatCode="0.00">
                  <c:v>23.452915484495762</c:v>
                </c:pt>
                <c:pt idx="26" formatCode="0.00">
                  <c:v>21.610368698124066</c:v>
                </c:pt>
                <c:pt idx="27" formatCode="0.00">
                  <c:v>21.721879312509863</c:v>
                </c:pt>
                <c:pt idx="28" formatCode="0.00">
                  <c:v>21.697381537613374</c:v>
                </c:pt>
                <c:pt idx="29" formatCode="0.00">
                  <c:v>22.498898474665658</c:v>
                </c:pt>
                <c:pt idx="30" formatCode="0.00">
                  <c:v>23.540732287154704</c:v>
                </c:pt>
                <c:pt idx="31" formatCode="0.00">
                  <c:v>23.787369747863217</c:v>
                </c:pt>
                <c:pt idx="32" formatCode="0.00">
                  <c:v>22.042790427229413</c:v>
                </c:pt>
                <c:pt idx="33" formatCode="0.00">
                  <c:v>22.242976004875416</c:v>
                </c:pt>
                <c:pt idx="34" formatCode="0.00">
                  <c:v>22.358522959613378</c:v>
                </c:pt>
                <c:pt idx="35" formatCode="0.00">
                  <c:v>23.229249479957581</c:v>
                </c:pt>
                <c:pt idx="36" formatCode="0.00">
                  <c:v>24.334986866898642</c:v>
                </c:pt>
                <c:pt idx="37" formatCode="0.00">
                  <c:v>24.640861427966911</c:v>
                </c:pt>
                <c:pt idx="38" formatCode="0.00">
                  <c:v>22.951388762759894</c:v>
                </c:pt>
                <c:pt idx="39" formatCode="0.00">
                  <c:v>23.203003783853713</c:v>
                </c:pt>
                <c:pt idx="40" formatCode="0.00">
                  <c:v>23.403184436249319</c:v>
                </c:pt>
                <c:pt idx="41" formatCode="0.00">
                  <c:v>24.316929569580392</c:v>
                </c:pt>
                <c:pt idx="42" formatCode="0.00">
                  <c:v>25.463214670383913</c:v>
                </c:pt>
                <c:pt idx="43" formatCode="0.00">
                  <c:v>25.807389541790926</c:v>
                </c:pt>
                <c:pt idx="44" formatCode="0.00">
                  <c:v>24.154165925401152</c:v>
                </c:pt>
                <c:pt idx="45" formatCode="0.00">
                  <c:v>24.440151694074174</c:v>
                </c:pt>
                <c:pt idx="46" formatCode="0.00">
                  <c:v>24.698295849596974</c:v>
                </c:pt>
                <c:pt idx="47" formatCode="0.00">
                  <c:v>25.641903818557246</c:v>
                </c:pt>
                <c:pt idx="48" formatCode="0.00">
                  <c:v>26.816673480782445</c:v>
                </c:pt>
                <c:pt idx="49" formatCode="0.00">
                  <c:v>27.188054639713624</c:v>
                </c:pt>
                <c:pt idx="50" formatCode="0.00">
                  <c:v>25.560849174763305</c:v>
                </c:pt>
                <c:pt idx="51" formatCode="0.00">
                  <c:v>25.871746452248242</c:v>
                </c:pt>
                <c:pt idx="52" formatCode="0.00">
                  <c:v>26.172635755678115</c:v>
                </c:pt>
                <c:pt idx="53" formatCode="0.00">
                  <c:v>27.138415428945294</c:v>
                </c:pt>
                <c:pt idx="54" formatCode="0.00">
                  <c:v>28.334498392460997</c:v>
                </c:pt>
                <c:pt idx="55" formatCode="0.00">
                  <c:v>28.726386501924253</c:v>
                </c:pt>
                <c:pt idx="56" formatCode="0.00">
                  <c:v>27.118929385856102</c:v>
                </c:pt>
                <c:pt idx="57" formatCode="0.00">
                  <c:v>27.448860303552063</c:v>
                </c:pt>
                <c:pt idx="58" formatCode="0.00">
                  <c:v>27.78285670966504</c:v>
                </c:pt>
                <c:pt idx="59" formatCode="0.00">
                  <c:v>28.765860875350153</c:v>
                </c:pt>
                <c:pt idx="60" formatCode="0.00">
                  <c:v>29.97859229093368</c:v>
                </c:pt>
                <c:pt idx="61" formatCode="0.00">
                  <c:v>30.386582834713067</c:v>
                </c:pt>
                <c:pt idx="62" formatCode="0.00">
                  <c:v>28.794710020374087</c:v>
                </c:pt>
                <c:pt idx="63" formatCode="0.00">
                  <c:v>29.139733046628152</c:v>
                </c:pt>
                <c:pt idx="64" formatCode="0.00">
                  <c:v>29.500284059965882</c:v>
                </c:pt>
                <c:pt idx="65" formatCode="0.00">
                  <c:v>30.497113187820965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A-4812-96A7-522965B48E9A}"/>
            </c:ext>
          </c:extLst>
        </c:ser>
        <c:ser>
          <c:idx val="3"/>
          <c:order val="3"/>
          <c:tx>
            <c:strRef>
              <c:f>Feuil8!$E$1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Feuil8!$A$2:$A$67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Feuil8!$E$2:$E$67</c:f>
              <c:numCache>
                <c:formatCode>General</c:formatCode>
                <c:ptCount val="66"/>
                <c:pt idx="15" formatCode="0.00">
                  <c:v>27.7</c:v>
                </c:pt>
                <c:pt idx="16" formatCode="0.00">
                  <c:v>33.175542540908623</c:v>
                </c:pt>
                <c:pt idx="17" formatCode="0.00">
                  <c:v>35.59824175609171</c:v>
                </c:pt>
                <c:pt idx="18" formatCode="0.00">
                  <c:v>38.052901495548085</c:v>
                </c:pt>
                <c:pt idx="19" formatCode="0.00">
                  <c:v>39.58006159708593</c:v>
                </c:pt>
                <c:pt idx="20" formatCode="0.00">
                  <c:v>39.021370720517773</c:v>
                </c:pt>
                <c:pt idx="21" formatCode="0.00">
                  <c:v>40.334875231843569</c:v>
                </c:pt>
                <c:pt idx="22" formatCode="0.00">
                  <c:v>42.274761279357399</c:v>
                </c:pt>
                <c:pt idx="23" formatCode="0.00">
                  <c:v>44.118542453114941</c:v>
                </c:pt>
                <c:pt idx="24" formatCode="0.00">
                  <c:v>46.160844052286848</c:v>
                </c:pt>
                <c:pt idx="25" formatCode="0.00">
                  <c:v>47.371357677063386</c:v>
                </c:pt>
                <c:pt idx="26" formatCode="0.00">
                  <c:v>46.558246092000758</c:v>
                </c:pt>
                <c:pt idx="27" formatCode="0.00">
                  <c:v>47.660918691558372</c:v>
                </c:pt>
                <c:pt idx="28" formatCode="0.00">
                  <c:v>49.299065931772454</c:v>
                </c:pt>
                <c:pt idx="29" formatCode="0.00">
                  <c:v>51.004259675902567</c:v>
                </c:pt>
                <c:pt idx="30" formatCode="0.00">
                  <c:v>52.924252217453535</c:v>
                </c:pt>
                <c:pt idx="31" formatCode="0.00">
                  <c:v>54.025756517396836</c:v>
                </c:pt>
                <c:pt idx="32" formatCode="0.00">
                  <c:v>53.114677466596312</c:v>
                </c:pt>
                <c:pt idx="33" formatCode="0.00">
                  <c:v>54.128675102893709</c:v>
                </c:pt>
                <c:pt idx="34" formatCode="0.00">
                  <c:v>55.626777613473351</c:v>
                </c:pt>
                <c:pt idx="35" formatCode="0.00">
                  <c:v>57.262761774311535</c:v>
                </c:pt>
                <c:pt idx="36" formatCode="0.00">
                  <c:v>59.118850741410498</c:v>
                </c:pt>
                <c:pt idx="37" formatCode="0.00">
                  <c:v>60.161117940994046</c:v>
                </c:pt>
                <c:pt idx="38" formatCode="0.00">
                  <c:v>59.194932234766725</c:v>
                </c:pt>
                <c:pt idx="39" formatCode="0.00">
                  <c:v>60.157500427616313</c:v>
                </c:pt>
                <c:pt idx="40" formatCode="0.00">
                  <c:v>61.570969240538304</c:v>
                </c:pt>
                <c:pt idx="41" formatCode="0.00">
                  <c:v>63.163934788389625</c:v>
                </c:pt>
                <c:pt idx="42" formatCode="0.00">
                  <c:v>64.979476041626128</c:v>
                </c:pt>
                <c:pt idx="43" formatCode="0.00">
                  <c:v>65.983442930870922</c:v>
                </c:pt>
                <c:pt idx="44" formatCode="0.00">
                  <c:v>64.981008175826361</c:v>
                </c:pt>
                <c:pt idx="45" formatCode="0.00">
                  <c:v>65.909205621096746</c:v>
                </c:pt>
                <c:pt idx="46" formatCode="0.00">
                  <c:v>67.264710930891553</c:v>
                </c:pt>
                <c:pt idx="47" formatCode="0.00">
                  <c:v>68.827813643113672</c:v>
                </c:pt>
                <c:pt idx="48" formatCode="0.00">
                  <c:v>70.614870334928497</c:v>
                </c:pt>
                <c:pt idx="49" formatCode="0.00">
                  <c:v>71.591630936649111</c:v>
                </c:pt>
                <c:pt idx="50" formatCode="0.00">
                  <c:v>70.563178030165105</c:v>
                </c:pt>
                <c:pt idx="51" formatCode="0.00">
                  <c:v>71.466463966623579</c:v>
                </c:pt>
                <c:pt idx="52" formatCode="0.00">
                  <c:v>72.779224128511316</c:v>
                </c:pt>
                <c:pt idx="53" formatCode="0.00">
                  <c:v>74.320155136426521</c:v>
                </c:pt>
                <c:pt idx="54" formatCode="0.00">
                  <c:v>76.085898526950828</c:v>
                </c:pt>
                <c:pt idx="55" formatCode="0.00">
                  <c:v>77.042152178139389</c:v>
                </c:pt>
                <c:pt idx="56" formatCode="0.00">
                  <c:v>75.993950922773209</c:v>
                </c:pt>
                <c:pt idx="57" formatCode="0.00">
                  <c:v>76.878203219020662</c:v>
                </c:pt>
                <c:pt idx="58" formatCode="0.00">
                  <c:v>78.157856278225282</c:v>
                </c:pt>
                <c:pt idx="59" formatCode="0.00">
                  <c:v>79.681562793722549</c:v>
                </c:pt>
                <c:pt idx="60" formatCode="0.00">
                  <c:v>81.430657732179057</c:v>
                </c:pt>
                <c:pt idx="61" formatCode="0.00">
                  <c:v>82.370808949051479</c:v>
                </c:pt>
                <c:pt idx="62" formatCode="0.00">
                  <c:v>81.307023391956136</c:v>
                </c:pt>
                <c:pt idx="63" formatCode="0.00">
                  <c:v>82.176183579645468</c:v>
                </c:pt>
                <c:pt idx="64" formatCode="0.00">
                  <c:v>83.429282031625334</c:v>
                </c:pt>
                <c:pt idx="65" formatCode="0.00">
                  <c:v>84.939163584952638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EA-4812-96A7-522965B4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882896"/>
        <c:axId val="1620887696"/>
      </c:lineChart>
      <c:catAx>
        <c:axId val="162088289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87696"/>
        <c:crosses val="autoZero"/>
        <c:auto val="1"/>
        <c:lblAlgn val="ctr"/>
        <c:lblOffset val="100"/>
        <c:noMultiLvlLbl val="0"/>
      </c:catAx>
      <c:valAx>
        <c:axId val="16208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8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Feuil11!$B$1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Feuil11!$B$2:$B$67</c:f>
              <c:numCache>
                <c:formatCode>General</c:formatCode>
                <c:ptCount val="66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D-43E4-8E61-9D6991696384}"/>
            </c:ext>
          </c:extLst>
        </c:ser>
        <c:ser>
          <c:idx val="1"/>
          <c:order val="1"/>
          <c:tx>
            <c:strRef>
              <c:f>Feuil11!$C$1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Feuil11!$A$2:$A$67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Feuil11!$C$2:$C$67</c:f>
              <c:numCache>
                <c:formatCode>General</c:formatCode>
                <c:ptCount val="66"/>
                <c:pt idx="14">
                  <c:v>29</c:v>
                </c:pt>
                <c:pt idx="15">
                  <c:v>27.744537093289679</c:v>
                </c:pt>
                <c:pt idx="16">
                  <c:v>29.648943581586845</c:v>
                </c:pt>
                <c:pt idx="17">
                  <c:v>30.057323827706487</c:v>
                </c:pt>
                <c:pt idx="18">
                  <c:v>29.917191256709636</c:v>
                </c:pt>
                <c:pt idx="19">
                  <c:v>30.352816908653175</c:v>
                </c:pt>
                <c:pt idx="20">
                  <c:v>32.257223396950344</c:v>
                </c:pt>
                <c:pt idx="21">
                  <c:v>32.665603643069986</c:v>
                </c:pt>
                <c:pt idx="22">
                  <c:v>32.525471072073131</c:v>
                </c:pt>
                <c:pt idx="23">
                  <c:v>32.96109672401667</c:v>
                </c:pt>
                <c:pt idx="24">
                  <c:v>34.865503212313847</c:v>
                </c:pt>
                <c:pt idx="25">
                  <c:v>35.273883458433481</c:v>
                </c:pt>
                <c:pt idx="26">
                  <c:v>35.133750887436626</c:v>
                </c:pt>
                <c:pt idx="27">
                  <c:v>35.569376539380166</c:v>
                </c:pt>
                <c:pt idx="28">
                  <c:v>37.473783027677342</c:v>
                </c:pt>
                <c:pt idx="29">
                  <c:v>37.882163273796976</c:v>
                </c:pt>
                <c:pt idx="30">
                  <c:v>37.742030702800122</c:v>
                </c:pt>
                <c:pt idx="31">
                  <c:v>38.177656354743661</c:v>
                </c:pt>
                <c:pt idx="32">
                  <c:v>40.082062843040838</c:v>
                </c:pt>
                <c:pt idx="33">
                  <c:v>40.490443089160472</c:v>
                </c:pt>
                <c:pt idx="34">
                  <c:v>40.350310518163617</c:v>
                </c:pt>
                <c:pt idx="35">
                  <c:v>40.785936170107163</c:v>
                </c:pt>
                <c:pt idx="36">
                  <c:v>42.690342658404333</c:v>
                </c:pt>
                <c:pt idx="37">
                  <c:v>43.098722904523967</c:v>
                </c:pt>
                <c:pt idx="38">
                  <c:v>42.95859033352712</c:v>
                </c:pt>
                <c:pt idx="39">
                  <c:v>43.394215985470659</c:v>
                </c:pt>
                <c:pt idx="40">
                  <c:v>45.298622473767828</c:v>
                </c:pt>
                <c:pt idx="41">
                  <c:v>45.70700271988747</c:v>
                </c:pt>
                <c:pt idx="42">
                  <c:v>45.566870148890615</c:v>
                </c:pt>
                <c:pt idx="43">
                  <c:v>46.002495800834154</c:v>
                </c:pt>
                <c:pt idx="44">
                  <c:v>47.906902289131331</c:v>
                </c:pt>
                <c:pt idx="45">
                  <c:v>48.315282535250958</c:v>
                </c:pt>
                <c:pt idx="46">
                  <c:v>48.175149964254111</c:v>
                </c:pt>
                <c:pt idx="47">
                  <c:v>48.610775616197657</c:v>
                </c:pt>
                <c:pt idx="48">
                  <c:v>50.515182104494819</c:v>
                </c:pt>
                <c:pt idx="49">
                  <c:v>50.923562350614461</c:v>
                </c:pt>
                <c:pt idx="50">
                  <c:v>50.783429779617606</c:v>
                </c:pt>
                <c:pt idx="51">
                  <c:v>51.219055431561145</c:v>
                </c:pt>
                <c:pt idx="52">
                  <c:v>53.123461919858322</c:v>
                </c:pt>
                <c:pt idx="53">
                  <c:v>53.531842165977956</c:v>
                </c:pt>
                <c:pt idx="54">
                  <c:v>53.391709594981101</c:v>
                </c:pt>
                <c:pt idx="55">
                  <c:v>53.827335246924648</c:v>
                </c:pt>
                <c:pt idx="56">
                  <c:v>55.731741735221817</c:v>
                </c:pt>
                <c:pt idx="57">
                  <c:v>56.140121981341451</c:v>
                </c:pt>
                <c:pt idx="58">
                  <c:v>55.999989410344604</c:v>
                </c:pt>
                <c:pt idx="59">
                  <c:v>56.435615062288143</c:v>
                </c:pt>
                <c:pt idx="60">
                  <c:v>58.340021550585313</c:v>
                </c:pt>
                <c:pt idx="61">
                  <c:v>58.748401796704954</c:v>
                </c:pt>
                <c:pt idx="62">
                  <c:v>58.608269225708092</c:v>
                </c:pt>
                <c:pt idx="63">
                  <c:v>59.043894877651638</c:v>
                </c:pt>
                <c:pt idx="64">
                  <c:v>60.948301365948815</c:v>
                </c:pt>
                <c:pt idx="65">
                  <c:v>61.356681612068442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9D-43E4-8E61-9D6991696384}"/>
            </c:ext>
          </c:extLst>
        </c:ser>
        <c:ser>
          <c:idx val="2"/>
          <c:order val="2"/>
          <c:tx>
            <c:strRef>
              <c:f>Feuil11!$D$1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Feuil11!$A$2:$A$67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Feuil11!$D$2:$D$67</c:f>
              <c:numCache>
                <c:formatCode>General</c:formatCode>
                <c:ptCount val="66"/>
                <c:pt idx="14" formatCode="0.00">
                  <c:v>29</c:v>
                </c:pt>
                <c:pt idx="15" formatCode="0.00">
                  <c:v>22.896499855345738</c:v>
                </c:pt>
                <c:pt idx="16" formatCode="0.00">
                  <c:v>24.649340686786847</c:v>
                </c:pt>
                <c:pt idx="17" formatCode="0.00">
                  <c:v>24.909463845077831</c:v>
                </c:pt>
                <c:pt idx="18" formatCode="0.00">
                  <c:v>24.624100292765018</c:v>
                </c:pt>
                <c:pt idx="19" formatCode="0.00">
                  <c:v>24.916169500663898</c:v>
                </c:pt>
                <c:pt idx="20" formatCode="0.00">
                  <c:v>26.680713903996814</c:v>
                </c:pt>
                <c:pt idx="21" formatCode="0.00">
                  <c:v>26.951599925116941</c:v>
                </c:pt>
                <c:pt idx="22" formatCode="0.00">
                  <c:v>26.676169990997909</c:v>
                </c:pt>
                <c:pt idx="23" formatCode="0.00">
                  <c:v>26.977522760643531</c:v>
                </c:pt>
                <c:pt idx="24" formatCode="0.00">
                  <c:v>28.75060406243033</c:v>
                </c:pt>
                <c:pt idx="25" formatCode="0.00">
                  <c:v>29.029440236125197</c:v>
                </c:pt>
                <c:pt idx="26" formatCode="0.00">
                  <c:v>28.761432391610775</c:v>
                </c:pt>
                <c:pt idx="27" formatCode="0.00">
                  <c:v>29.069796513478476</c:v>
                </c:pt>
                <c:pt idx="28" formatCode="0.00">
                  <c:v>30.849385846502575</c:v>
                </c:pt>
                <c:pt idx="29" formatCode="0.00">
                  <c:v>31.134336301516996</c:v>
                </c:pt>
                <c:pt idx="30" formatCode="0.00">
                  <c:v>30.872083103171043</c:v>
                </c:pt>
                <c:pt idx="31" formatCode="0.00">
                  <c:v>31.185926032702199</c:v>
                </c:pt>
                <c:pt idx="32" formatCode="0.00">
                  <c:v>32.970635013788915</c:v>
                </c:pt>
                <c:pt idx="33" formatCode="0.00">
                  <c:v>33.260426491261065</c:v>
                </c:pt>
                <c:pt idx="34" formatCode="0.00">
                  <c:v>33.002757006360468</c:v>
                </c:pt>
                <c:pt idx="35" formatCode="0.00">
                  <c:v>33.320989889801716</c:v>
                </c:pt>
                <c:pt idx="36" formatCode="0.00">
                  <c:v>35.109821348700002</c:v>
                </c:pt>
                <c:pt idx="37" formatCode="0.00">
                  <c:v>35.403530049606374</c:v>
                </c:pt>
                <c:pt idx="38" formatCode="0.00">
                  <c:v>35.149586605953658</c:v>
                </c:pt>
                <c:pt idx="39" formatCode="0.00">
                  <c:v>35.471404668033884</c:v>
                </c:pt>
                <c:pt idx="40" formatCode="0.00">
                  <c:v>37.263615371956888</c:v>
                </c:pt>
                <c:pt idx="41" formatCode="0.00">
                  <c:v>37.560547263876025</c:v>
                </c:pt>
                <c:pt idx="42" formatCode="0.00">
                  <c:v>37.30968065787652</c:v>
                </c:pt>
                <c:pt idx="43" formatCode="0.00">
                  <c:v>37.63447034967448</c:v>
                </c:pt>
                <c:pt idx="44" formatCode="0.00">
                  <c:v>39.42948985301625</c:v>
                </c:pt>
                <c:pt idx="45" formatCode="0.00">
                  <c:v>39.72910884048796</c:v>
                </c:pt>
                <c:pt idx="46" formatCode="0.00">
                  <c:v>39.480814551348161</c:v>
                </c:pt>
                <c:pt idx="47" formatCode="0.00">
                  <c:v>39.808096265566419</c:v>
                </c:pt>
                <c:pt idx="48" formatCode="0.00">
                  <c:v>41.605476204301006</c:v>
                </c:pt>
                <c:pt idx="49" formatCode="0.00">
                  <c:v>41.907358705094531</c:v>
                </c:pt>
                <c:pt idx="50" formatCode="0.00">
                  <c:v>41.661236095772978</c:v>
                </c:pt>
                <c:pt idx="51" formatCode="0.00">
                  <c:v>41.990627124880092</c:v>
                </c:pt>
                <c:pt idx="52" formatCode="0.00">
                  <c:v>43.790008088744699</c:v>
                </c:pt>
                <c:pt idx="53" formatCode="0.00">
                  <c:v>44.093813064367453</c:v>
                </c:pt>
                <c:pt idx="54" formatCode="0.00">
                  <c:v>43.849538210310101</c:v>
                </c:pt>
                <c:pt idx="55" formatCode="0.00">
                  <c:v>44.180727854719251</c:v>
                </c:pt>
                <c:pt idx="56" formatCode="0.00">
                  <c:v>45.981816934267215</c:v>
                </c:pt>
                <c:pt idx="57" formatCode="0.00">
                  <c:v>46.287265410973262</c:v>
                </c:pt>
                <c:pt idx="58" formatCode="0.00">
                  <c:v>46.044572387325616</c:v>
                </c:pt>
                <c:pt idx="59" formatCode="0.00">
                  <c:v>46.377304682460114</c:v>
                </c:pt>
                <c:pt idx="60" formatCode="0.00">
                  <c:v>48.179859775707108</c:v>
                </c:pt>
                <c:pt idx="61" formatCode="0.00">
                  <c:v>48.486720431489161</c:v>
                </c:pt>
                <c:pt idx="62" formatCode="0.00">
                  <c:v>48.245388055278269</c:v>
                </c:pt>
                <c:pt idx="63" formatCode="0.00">
                  <c:v>48.579449454797484</c:v>
                </c:pt>
                <c:pt idx="64" formatCode="0.00">
                  <c:v>50.38326800758513</c:v>
                </c:pt>
                <c:pt idx="65" formatCode="0.00">
                  <c:v>50.691346769632275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9D-43E4-8E61-9D6991696384}"/>
            </c:ext>
          </c:extLst>
        </c:ser>
        <c:ser>
          <c:idx val="3"/>
          <c:order val="3"/>
          <c:tx>
            <c:strRef>
              <c:f>Feuil11!$E$1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Feuil11!$A$2:$A$67</c:f>
              <c:numCache>
                <c:formatCode>General</c:formatCode>
                <c:ptCount val="6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</c:numCache>
            </c:numRef>
          </c:cat>
          <c:val>
            <c:numRef>
              <c:f>Feuil11!$E$2:$E$67</c:f>
              <c:numCache>
                <c:formatCode>General</c:formatCode>
                <c:ptCount val="66"/>
                <c:pt idx="14" formatCode="0.00">
                  <c:v>29</c:v>
                </c:pt>
                <c:pt idx="15" formatCode="0.00">
                  <c:v>32.592574331233621</c:v>
                </c:pt>
                <c:pt idx="16" formatCode="0.00">
                  <c:v>34.648546476386848</c:v>
                </c:pt>
                <c:pt idx="17" formatCode="0.00">
                  <c:v>35.205183810335143</c:v>
                </c:pt>
                <c:pt idx="18" formatCode="0.00">
                  <c:v>35.21028222065425</c:v>
                </c:pt>
                <c:pt idx="19" formatCode="0.00">
                  <c:v>35.789464316642452</c:v>
                </c:pt>
                <c:pt idx="20" formatCode="0.00">
                  <c:v>37.833732889903878</c:v>
                </c:pt>
                <c:pt idx="21" formatCode="0.00">
                  <c:v>38.379607361023034</c:v>
                </c:pt>
                <c:pt idx="22" formatCode="0.00">
                  <c:v>38.374772153148356</c:v>
                </c:pt>
                <c:pt idx="23" formatCode="0.00">
                  <c:v>38.944670687389809</c:v>
                </c:pt>
                <c:pt idx="24" formatCode="0.00">
                  <c:v>40.980402362197367</c:v>
                </c:pt>
                <c:pt idx="25" formatCode="0.00">
                  <c:v>41.518326680741765</c:v>
                </c:pt>
                <c:pt idx="26" formatCode="0.00">
                  <c:v>41.506069383262478</c:v>
                </c:pt>
                <c:pt idx="27" formatCode="0.00">
                  <c:v>42.068956565281859</c:v>
                </c:pt>
                <c:pt idx="28" formatCode="0.00">
                  <c:v>44.098180208852114</c:v>
                </c:pt>
                <c:pt idx="29" formatCode="0.00">
                  <c:v>44.629990246076957</c:v>
                </c:pt>
                <c:pt idx="30" formatCode="0.00">
                  <c:v>44.6119783024292</c:v>
                </c:pt>
                <c:pt idx="31" formatCode="0.00">
                  <c:v>45.169386676785123</c:v>
                </c:pt>
                <c:pt idx="32" formatCode="0.00">
                  <c:v>47.193490672292761</c:v>
                </c:pt>
                <c:pt idx="33" formatCode="0.00">
                  <c:v>47.720459687059879</c:v>
                </c:pt>
                <c:pt idx="34" formatCode="0.00">
                  <c:v>47.697864029966766</c:v>
                </c:pt>
                <c:pt idx="35" formatCode="0.00">
                  <c:v>48.250882450412611</c:v>
                </c:pt>
                <c:pt idx="36" formatCode="0.00">
                  <c:v>50.270863968108664</c:v>
                </c:pt>
                <c:pt idx="37" formatCode="0.00">
                  <c:v>50.79391575944156</c:v>
                </c:pt>
                <c:pt idx="38" formatCode="0.00">
                  <c:v>50.767594061100581</c:v>
                </c:pt>
                <c:pt idx="39" formatCode="0.00">
                  <c:v>51.317027302907434</c:v>
                </c:pt>
                <c:pt idx="40" formatCode="0.00">
                  <c:v>53.333629575578769</c:v>
                </c:pt>
                <c:pt idx="41" formatCode="0.00">
                  <c:v>53.853458175898915</c:v>
                </c:pt>
                <c:pt idx="42" formatCode="0.00">
                  <c:v>53.824059639904711</c:v>
                </c:pt>
                <c:pt idx="43" formatCode="0.00">
                  <c:v>54.370521251993829</c:v>
                </c:pt>
                <c:pt idx="44" formatCode="0.00">
                  <c:v>56.384314725246412</c:v>
                </c:pt>
                <c:pt idx="45" formatCode="0.00">
                  <c:v>56.901456230013956</c:v>
                </c:pt>
                <c:pt idx="46" formatCode="0.00">
                  <c:v>56.869485377160061</c:v>
                </c:pt>
                <c:pt idx="47" formatCode="0.00">
                  <c:v>57.413454966828894</c:v>
                </c:pt>
                <c:pt idx="48" formatCode="0.00">
                  <c:v>59.424888004688633</c:v>
                </c:pt>
                <c:pt idx="49" formatCode="0.00">
                  <c:v>59.93976599613439</c:v>
                </c:pt>
                <c:pt idx="50" formatCode="0.00">
                  <c:v>59.905623463462234</c:v>
                </c:pt>
                <c:pt idx="51" formatCode="0.00">
                  <c:v>60.447483738242198</c:v>
                </c:pt>
                <c:pt idx="52" formatCode="0.00">
                  <c:v>62.456915750971945</c:v>
                </c:pt>
                <c:pt idx="53" formatCode="0.00">
                  <c:v>62.969871267588459</c:v>
                </c:pt>
                <c:pt idx="54" formatCode="0.00">
                  <c:v>62.933880979652102</c:v>
                </c:pt>
                <c:pt idx="55" formatCode="0.00">
                  <c:v>63.473942639130044</c:v>
                </c:pt>
                <c:pt idx="56" formatCode="0.00">
                  <c:v>65.481666536176419</c:v>
                </c:pt>
                <c:pt idx="57" formatCode="0.00">
                  <c:v>65.992978551709641</c:v>
                </c:pt>
                <c:pt idx="58" formatCode="0.00">
                  <c:v>65.955406433363592</c:v>
                </c:pt>
                <c:pt idx="59" formatCode="0.00">
                  <c:v>66.493925442116165</c:v>
                </c:pt>
                <c:pt idx="60" formatCode="0.00">
                  <c:v>68.500183325463524</c:v>
                </c:pt>
                <c:pt idx="61" formatCode="0.00">
                  <c:v>69.010083161920747</c:v>
                </c:pt>
                <c:pt idx="62" formatCode="0.00">
                  <c:v>68.971150396137915</c:v>
                </c:pt>
                <c:pt idx="63" formatCode="0.00">
                  <c:v>69.508340300505793</c:v>
                </c:pt>
                <c:pt idx="64" formatCode="0.00">
                  <c:v>71.5133347243125</c:v>
                </c:pt>
                <c:pt idx="65" formatCode="0.00">
                  <c:v>72.022016454504609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9D-43E4-8E61-9D6991696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908336"/>
        <c:axId val="1620897776"/>
      </c:lineChart>
      <c:catAx>
        <c:axId val="1620908336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97776"/>
        <c:crosses val="autoZero"/>
        <c:auto val="1"/>
        <c:lblAlgn val="ctr"/>
        <c:lblOffset val="100"/>
        <c:noMultiLvlLbl val="0"/>
      </c:catAx>
      <c:valAx>
        <c:axId val="162089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90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Feuil12!$B$1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Feuil12!$B$2:$B$69</c:f>
              <c:numCache>
                <c:formatCode>0.0</c:formatCode>
                <c:ptCount val="68"/>
                <c:pt idx="0">
                  <c:v>14.440000000000001</c:v>
                </c:pt>
                <c:pt idx="1">
                  <c:v>12.391111111111115</c:v>
                </c:pt>
                <c:pt idx="2">
                  <c:v>12.639999999999999</c:v>
                </c:pt>
                <c:pt idx="3">
                  <c:v>14.516666666666667</c:v>
                </c:pt>
                <c:pt idx="4">
                  <c:v>19.392222222222216</c:v>
                </c:pt>
                <c:pt idx="5">
                  <c:v>18.827777777777779</c:v>
                </c:pt>
                <c:pt idx="6">
                  <c:v>19.849851851851327</c:v>
                </c:pt>
                <c:pt idx="7">
                  <c:v>21.130391534391038</c:v>
                </c:pt>
                <c:pt idx="8">
                  <c:v>22.410931216930749</c:v>
                </c:pt>
                <c:pt idx="9">
                  <c:v>23.69147089947046</c:v>
                </c:pt>
                <c:pt idx="10">
                  <c:v>25.091470899470458</c:v>
                </c:pt>
                <c:pt idx="11">
                  <c:v>26.291470899470458</c:v>
                </c:pt>
                <c:pt idx="12">
                  <c:v>27.391470899470459</c:v>
                </c:pt>
                <c:pt idx="13">
                  <c:v>28.291470899470458</c:v>
                </c:pt>
                <c:pt idx="14">
                  <c:v>29.091470899470458</c:v>
                </c:pt>
                <c:pt idx="15">
                  <c:v>29.561470899470457</c:v>
                </c:pt>
                <c:pt idx="16">
                  <c:v>29.911470899470459</c:v>
                </c:pt>
                <c:pt idx="17">
                  <c:v>30.098613756613315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7-44BC-8514-3C5588E06FF8}"/>
            </c:ext>
          </c:extLst>
        </c:ser>
        <c:ser>
          <c:idx val="1"/>
          <c:order val="1"/>
          <c:tx>
            <c:strRef>
              <c:f>Feuil12!$C$1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Feuil12!$A$2:$A$69</c:f>
              <c:numCache>
                <c:formatCode>General</c:formatCode>
                <c:ptCount val="6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</c:numCache>
            </c:numRef>
          </c:cat>
          <c:val>
            <c:numRef>
              <c:f>Feuil12!$C$2:$C$69</c:f>
              <c:numCache>
                <c:formatCode>General</c:formatCode>
                <c:ptCount val="68"/>
                <c:pt idx="6" formatCode="0.0">
                  <c:v>19.849851851851327</c:v>
                </c:pt>
                <c:pt idx="7" formatCode="0.0">
                  <c:v>20.477317864067611</c:v>
                </c:pt>
                <c:pt idx="8" formatCode="0.0">
                  <c:v>22.71923121622244</c:v>
                </c:pt>
                <c:pt idx="9" formatCode="0.0">
                  <c:v>23.033217190587184</c:v>
                </c:pt>
                <c:pt idx="10" formatCode="0.0">
                  <c:v>25.275130542742009</c:v>
                </c:pt>
                <c:pt idx="11" formatCode="0.0">
                  <c:v>25.589116517106753</c:v>
                </c:pt>
                <c:pt idx="12" formatCode="0.0">
                  <c:v>27.831029869261581</c:v>
                </c:pt>
                <c:pt idx="13" formatCode="0.0">
                  <c:v>28.145015843626322</c:v>
                </c:pt>
                <c:pt idx="14" formatCode="0.0">
                  <c:v>30.386929195781153</c:v>
                </c:pt>
                <c:pt idx="15" formatCode="0.0">
                  <c:v>30.700915170145894</c:v>
                </c:pt>
                <c:pt idx="16" formatCode="0.0">
                  <c:v>32.942828522300715</c:v>
                </c:pt>
                <c:pt idx="17" formatCode="0.0">
                  <c:v>33.25681449666547</c:v>
                </c:pt>
                <c:pt idx="18" formatCode="0.0">
                  <c:v>35.498727848820295</c:v>
                </c:pt>
                <c:pt idx="19" formatCode="0.0">
                  <c:v>35.812713823185042</c:v>
                </c:pt>
                <c:pt idx="20" formatCode="0.0">
                  <c:v>38.05462717533986</c:v>
                </c:pt>
                <c:pt idx="21" formatCode="0.0">
                  <c:v>38.368613149704615</c:v>
                </c:pt>
                <c:pt idx="22" formatCode="0.0">
                  <c:v>40.610526501859432</c:v>
                </c:pt>
                <c:pt idx="23" formatCode="0.0">
                  <c:v>40.92451247622418</c:v>
                </c:pt>
                <c:pt idx="24" formatCode="0.0">
                  <c:v>43.166425828379005</c:v>
                </c:pt>
                <c:pt idx="25" formatCode="0.0">
                  <c:v>43.480411802743753</c:v>
                </c:pt>
                <c:pt idx="26" formatCode="0.0">
                  <c:v>45.72232515489857</c:v>
                </c:pt>
                <c:pt idx="27" formatCode="0.0">
                  <c:v>46.036311129263325</c:v>
                </c:pt>
                <c:pt idx="28" formatCode="0.0">
                  <c:v>48.27822448141815</c:v>
                </c:pt>
                <c:pt idx="29" formatCode="0.0">
                  <c:v>48.592210455782897</c:v>
                </c:pt>
                <c:pt idx="30" formatCode="0.0">
                  <c:v>50.834123807937715</c:v>
                </c:pt>
                <c:pt idx="31" formatCode="0.0">
                  <c:v>51.14810978230247</c:v>
                </c:pt>
                <c:pt idx="32" formatCode="0.0">
                  <c:v>53.390023134457294</c:v>
                </c:pt>
                <c:pt idx="33" formatCode="0.0">
                  <c:v>53.704009108822035</c:v>
                </c:pt>
                <c:pt idx="34" formatCode="0.0">
                  <c:v>55.94592246097686</c:v>
                </c:pt>
                <c:pt idx="35" formatCode="0.0">
                  <c:v>56.259908435341615</c:v>
                </c:pt>
                <c:pt idx="36" formatCode="0.0">
                  <c:v>58.501821787496425</c:v>
                </c:pt>
                <c:pt idx="37" formatCode="0.0">
                  <c:v>58.81580776186118</c:v>
                </c:pt>
                <c:pt idx="38" formatCode="0.0">
                  <c:v>61.057721114016005</c:v>
                </c:pt>
                <c:pt idx="39" formatCode="0.0">
                  <c:v>61.371707088380745</c:v>
                </c:pt>
                <c:pt idx="40" formatCode="0.0">
                  <c:v>63.61362044053557</c:v>
                </c:pt>
                <c:pt idx="41" formatCode="0.0">
                  <c:v>63.927606414900325</c:v>
                </c:pt>
                <c:pt idx="42" formatCode="0.0">
                  <c:v>66.169519767055149</c:v>
                </c:pt>
                <c:pt idx="43" formatCode="0.0">
                  <c:v>66.48350574141989</c:v>
                </c:pt>
                <c:pt idx="44" formatCode="0.0">
                  <c:v>68.725419093574715</c:v>
                </c:pt>
                <c:pt idx="45" formatCode="0.0">
                  <c:v>69.03940506793947</c:v>
                </c:pt>
                <c:pt idx="46" formatCode="0.0">
                  <c:v>71.28131842009428</c:v>
                </c:pt>
                <c:pt idx="47" formatCode="0.0">
                  <c:v>71.595304394459035</c:v>
                </c:pt>
                <c:pt idx="48" formatCode="0.0">
                  <c:v>73.83721774661386</c:v>
                </c:pt>
                <c:pt idx="49" formatCode="0.0">
                  <c:v>74.1512037209786</c:v>
                </c:pt>
                <c:pt idx="50" formatCode="0.0">
                  <c:v>76.393117073133425</c:v>
                </c:pt>
                <c:pt idx="51" formatCode="0.0">
                  <c:v>76.70710304749818</c:v>
                </c:pt>
                <c:pt idx="52" formatCode="0.0">
                  <c:v>78.949016399653004</c:v>
                </c:pt>
                <c:pt idx="53" formatCode="0.0">
                  <c:v>79.263002374017745</c:v>
                </c:pt>
                <c:pt idx="54" formatCode="0.0">
                  <c:v>81.50491572617257</c:v>
                </c:pt>
                <c:pt idx="55" formatCode="0.0">
                  <c:v>81.818901700537324</c:v>
                </c:pt>
                <c:pt idx="56" formatCode="0.0">
                  <c:v>84.060815052692135</c:v>
                </c:pt>
                <c:pt idx="57" formatCode="0.0">
                  <c:v>84.37480102705689</c:v>
                </c:pt>
                <c:pt idx="58" formatCode="0.0">
                  <c:v>86.616714379211714</c:v>
                </c:pt>
                <c:pt idx="59" formatCode="0.0">
                  <c:v>86.930700353576455</c:v>
                </c:pt>
                <c:pt idx="60" formatCode="0.0">
                  <c:v>89.17261370573128</c:v>
                </c:pt>
                <c:pt idx="61" formatCode="0.0">
                  <c:v>89.486599680096035</c:v>
                </c:pt>
                <c:pt idx="62" formatCode="0.0">
                  <c:v>91.728513032250845</c:v>
                </c:pt>
                <c:pt idx="63" formatCode="0.0">
                  <c:v>92.0424990066156</c:v>
                </c:pt>
                <c:pt idx="64" formatCode="0.0">
                  <c:v>94.284412358770425</c:v>
                </c:pt>
                <c:pt idx="65" formatCode="0.0">
                  <c:v>94.598398333135165</c:v>
                </c:pt>
                <c:pt idx="66" formatCode="0.0">
                  <c:v>96.84031168528999</c:v>
                </c:pt>
                <c:pt idx="67" formatCode="0.0">
                  <c:v>97.154297659654745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7-44BC-8514-3C5588E06FF8}"/>
            </c:ext>
          </c:extLst>
        </c:ser>
        <c:ser>
          <c:idx val="2"/>
          <c:order val="2"/>
          <c:tx>
            <c:strRef>
              <c:f>Feuil12!$D$1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Feuil12!$A$2:$A$69</c:f>
              <c:numCache>
                <c:formatCode>General</c:formatCode>
                <c:ptCount val="6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</c:numCache>
            </c:numRef>
          </c:cat>
          <c:val>
            <c:numRef>
              <c:f>Feuil12!$D$2:$D$69</c:f>
              <c:numCache>
                <c:formatCode>General</c:formatCode>
                <c:ptCount val="68"/>
                <c:pt idx="6" formatCode="0.0">
                  <c:v>19.849851851851327</c:v>
                </c:pt>
                <c:pt idx="7" formatCode="0.0">
                  <c:v>16.927872345691554</c:v>
                </c:pt>
                <c:pt idx="8" formatCode="0.0">
                  <c:v>18.27816135248549</c:v>
                </c:pt>
                <c:pt idx="9" formatCode="0.0">
                  <c:v>17.84808590444883</c:v>
                </c:pt>
                <c:pt idx="10" formatCode="0.0">
                  <c:v>19.440058017538139</c:v>
                </c:pt>
                <c:pt idx="11" formatCode="0.0">
                  <c:v>19.166608910570126</c:v>
                </c:pt>
                <c:pt idx="12" formatCode="0.0">
                  <c:v>20.87048847238356</c:v>
                </c:pt>
                <c:pt idx="13" formatCode="0.0">
                  <c:v>20.682588787398178</c:v>
                </c:pt>
                <c:pt idx="14" formatCode="0.0">
                  <c:v>22.454306766760656</c:v>
                </c:pt>
                <c:pt idx="15" formatCode="0.0">
                  <c:v>22.32216652419514</c:v>
                </c:pt>
                <c:pt idx="16" formatCode="0.0">
                  <c:v>24.140535687894211</c:v>
                </c:pt>
                <c:pt idx="17" formatCode="0.0">
                  <c:v>24.048359716382091</c:v>
                </c:pt>
                <c:pt idx="18" formatCode="0.0">
                  <c:v>25.901284452873455</c:v>
                </c:pt>
                <c:pt idx="19" formatCode="0.0">
                  <c:v>25.839517201637442</c:v>
                </c:pt>
                <c:pt idx="20" formatCode="0.0">
                  <c:v>27.719329309980907</c:v>
                </c:pt>
                <c:pt idx="21" formatCode="0.0">
                  <c:v>27.681674173383506</c:v>
                </c:pt>
                <c:pt idx="22" formatCode="0.0">
                  <c:v>29.583153859134001</c:v>
                </c:pt>
                <c:pt idx="23" formatCode="0.0">
                  <c:v>29.565204288124512</c:v>
                </c:pt>
                <c:pt idx="24" formatCode="0.0">
                  <c:v>31.484610146605604</c:v>
                </c:pt>
                <c:pt idx="25" formatCode="0.0">
                  <c:v>31.48314103331812</c:v>
                </c:pt>
                <c:pt idx="26" formatCode="0.0">
                  <c:v>33.417683989594224</c:v>
                </c:pt>
                <c:pt idx="27" formatCode="0.0">
                  <c:v>33.430251615335635</c:v>
                </c:pt>
                <c:pt idx="28" formatCode="0.0">
                  <c:v>35.37778732872944</c:v>
                </c:pt>
                <c:pt idx="29" formatCode="0.0">
                  <c:v>35.402488102732384</c:v>
                </c:pt>
                <c:pt idx="30" formatCode="0.0">
                  <c:v>37.361326297002968</c:v>
                </c:pt>
                <c:pt idx="31" formatCode="0.0">
                  <c:v>37.396643484574398</c:v>
                </c:pt>
                <c:pt idx="32" formatCode="0.0">
                  <c:v>39.365424106162308</c:v>
                </c:pt>
                <c:pt idx="33" formatCode="0.0">
                  <c:v>39.410126263119302</c:v>
                </c:pt>
                <c:pt idx="34" formatCode="0.0">
                  <c:v>41.387735908081723</c:v>
                </c:pt>
                <c:pt idx="35" formatCode="0.0">
                  <c:v>41.440807189485056</c:v>
                </c:pt>
                <c:pt idx="36" formatCode="0.0">
                  <c:v>43.426320875055808</c:v>
                </c:pt>
                <c:pt idx="37" formatCode="0.0">
                  <c:v>43.486911790546593</c:v>
                </c:pt>
                <c:pt idx="38" formatCode="0.0">
                  <c:v>45.479551271644553</c:v>
                </c:pt>
                <c:pt idx="39" formatCode="0.0">
                  <c:v>45.546943005557836</c:v>
                </c:pt>
                <c:pt idx="40" formatCode="0.0">
                  <c:v>47.546046232951127</c:v>
                </c:pt>
                <c:pt idx="41" formatCode="0.0">
                  <c:v>47.619624226879147</c:v>
                </c:pt>
                <c:pt idx="42" formatCode="0.0">
                  <c:v>49.624622512209505</c:v>
                </c:pt>
                <c:pt idx="43" formatCode="0.0">
                  <c:v>49.703856532338023</c:v>
                </c:pt>
                <c:pt idx="44" formatCode="0.0">
                  <c:v>51.714257170111495</c:v>
                </c:pt>
                <c:pt idx="45" formatCode="0.0">
                  <c:v>51.798686015095541</c:v>
                </c:pt>
                <c:pt idx="46" formatCode="0.0">
                  <c:v>53.814058848773243</c:v>
                </c:pt>
                <c:pt idx="47" formatCode="0.0">
                  <c:v>53.903278443212159</c:v>
                </c:pt>
                <c:pt idx="48" formatCode="0.0">
                  <c:v>55.923245334351982</c:v>
                </c:pt>
                <c:pt idx="49" formatCode="0.0">
                  <c:v>56.016899335137111</c:v>
                </c:pt>
                <c:pt idx="50" formatCode="0.0">
                  <c:v>58.041125804352262</c:v>
                </c:pt>
                <c:pt idx="51" formatCode="0.0">
                  <c:v>58.138898101074787</c:v>
                </c:pt>
                <c:pt idx="52" formatCode="0.0">
                  <c:v>60.167086617669902</c:v>
                </c:pt>
                <c:pt idx="53" formatCode="0.0">
                  <c:v>60.268695280609336</c:v>
                </c:pt>
                <c:pt idx="54" formatCode="0.0">
                  <c:v>62.300579820391647</c:v>
                </c:pt>
                <c:pt idx="55" formatCode="0.0">
                  <c:v>62.405772168843185</c:v>
                </c:pt>
                <c:pt idx="56" formatCode="0.0">
                  <c:v>64.441113759180965</c:v>
                </c:pt>
                <c:pt idx="57" formatCode="0.0">
                  <c:v>64.549662306828779</c:v>
                </c:pt>
                <c:pt idx="58" formatCode="0.0">
                  <c:v>66.588245348704874</c:v>
                </c:pt>
                <c:pt idx="59" formatCode="0.0">
                  <c:v>66.699944442795982</c:v>
                </c:pt>
                <c:pt idx="60" formatCode="0.0">
                  <c:v>68.741573650531294</c:v>
                </c:pt>
                <c:pt idx="61" formatCode="0.0">
                  <c:v>68.856236665179779</c:v>
                </c:pt>
                <c:pt idx="62" formatCode="0.0">
                  <c:v>70.900734501709877</c:v>
                </c:pt>
                <c:pt idx="63" formatCode="0.0">
                  <c:v>71.018191477704207</c:v>
                </c:pt>
                <c:pt idx="64" formatCode="0.0">
                  <c:v>73.065395990823077</c:v>
                </c:pt>
                <c:pt idx="65" formatCode="0.0">
                  <c:v>73.185491638161636</c:v>
                </c:pt>
                <c:pt idx="66" formatCode="0.0">
                  <c:v>75.235254623757697</c:v>
                </c:pt>
                <c:pt idx="67" formatCode="0.0">
                  <c:v>75.357846621092406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37-44BC-8514-3C5588E06FF8}"/>
            </c:ext>
          </c:extLst>
        </c:ser>
        <c:ser>
          <c:idx val="3"/>
          <c:order val="3"/>
          <c:tx>
            <c:strRef>
              <c:f>Feuil12!$E$1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Feuil12!$A$2:$A$69</c:f>
              <c:numCache>
                <c:formatCode>General</c:formatCode>
                <c:ptCount val="6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</c:numCache>
            </c:numRef>
          </c:cat>
          <c:val>
            <c:numRef>
              <c:f>Feuil12!$E$2:$E$69</c:f>
              <c:numCache>
                <c:formatCode>General</c:formatCode>
                <c:ptCount val="68"/>
                <c:pt idx="6" formatCode="0.0">
                  <c:v>19.849851851851327</c:v>
                </c:pt>
                <c:pt idx="7" formatCode="0.0">
                  <c:v>24.026763382443669</c:v>
                </c:pt>
                <c:pt idx="8" formatCode="0.0">
                  <c:v>27.160301079959389</c:v>
                </c:pt>
                <c:pt idx="9" formatCode="0.0">
                  <c:v>28.218348476725538</c:v>
                </c:pt>
                <c:pt idx="10" formatCode="0.0">
                  <c:v>31.110203067945879</c:v>
                </c:pt>
                <c:pt idx="11" formatCode="0.0">
                  <c:v>32.011624123643379</c:v>
                </c:pt>
                <c:pt idx="12" formatCode="0.0">
                  <c:v>34.791571266139599</c:v>
                </c:pt>
                <c:pt idx="13" formatCode="0.0">
                  <c:v>35.607442899854462</c:v>
                </c:pt>
                <c:pt idx="14" formatCode="0.0">
                  <c:v>38.319551624801647</c:v>
                </c:pt>
                <c:pt idx="15" formatCode="0.0">
                  <c:v>39.079663816096648</c:v>
                </c:pt>
                <c:pt idx="16" formatCode="0.0">
                  <c:v>41.745121356707216</c:v>
                </c:pt>
                <c:pt idx="17" formatCode="0.0">
                  <c:v>42.465269276948845</c:v>
                </c:pt>
                <c:pt idx="18" formatCode="0.0">
                  <c:v>45.096171244767135</c:v>
                </c:pt>
                <c:pt idx="19" formatCode="0.0">
                  <c:v>45.785910444732643</c:v>
                </c:pt>
                <c:pt idx="20" formatCode="0.0">
                  <c:v>48.389925040698813</c:v>
                </c:pt>
                <c:pt idx="21" formatCode="0.0">
                  <c:v>49.055552126025724</c:v>
                </c:pt>
                <c:pt idx="22" formatCode="0.0">
                  <c:v>51.637899144584864</c:v>
                </c:pt>
                <c:pt idx="23" formatCode="0.0">
                  <c:v>52.283820664323848</c:v>
                </c:pt>
                <c:pt idx="24" formatCode="0.0">
                  <c:v>54.848241510152405</c:v>
                </c:pt>
                <c:pt idx="25" formatCode="0.0">
                  <c:v>55.477682572169385</c:v>
                </c:pt>
                <c:pt idx="26" formatCode="0.0">
                  <c:v>58.026966320202916</c:v>
                </c:pt>
                <c:pt idx="27" formatCode="0.0">
                  <c:v>58.642370643191015</c:v>
                </c:pt>
                <c:pt idx="28" formatCode="0.0">
                  <c:v>61.178661634106859</c:v>
                </c:pt>
                <c:pt idx="29" formatCode="0.0">
                  <c:v>61.78193280883341</c:v>
                </c:pt>
                <c:pt idx="30" formatCode="0.0">
                  <c:v>64.306921318872455</c:v>
                </c:pt>
                <c:pt idx="31" formatCode="0.0">
                  <c:v>64.899576080030542</c:v>
                </c:pt>
                <c:pt idx="32" formatCode="0.0">
                  <c:v>67.414622162752281</c:v>
                </c:pt>
                <c:pt idx="33" formatCode="0.0">
                  <c:v>67.997891954524761</c:v>
                </c:pt>
                <c:pt idx="34" formatCode="0.0">
                  <c:v>70.504109013871997</c:v>
                </c:pt>
                <c:pt idx="35" formatCode="0.0">
                  <c:v>71.079009681198173</c:v>
                </c:pt>
                <c:pt idx="36" formatCode="0.0">
                  <c:v>73.577322699937042</c:v>
                </c:pt>
                <c:pt idx="37" formatCode="0.0">
                  <c:v>74.14470373317576</c:v>
                </c:pt>
                <c:pt idx="38" formatCode="0.0">
                  <c:v>76.635890956387456</c:v>
                </c:pt>
                <c:pt idx="39" formatCode="0.0">
                  <c:v>77.196471171203655</c:v>
                </c:pt>
                <c:pt idx="40" formatCode="0.0">
                  <c:v>79.681194648120012</c:v>
                </c:pt>
                <c:pt idx="41" formatCode="0.0">
                  <c:v>80.235588602921496</c:v>
                </c:pt>
                <c:pt idx="42" formatCode="0.0">
                  <c:v>82.7144170219008</c:v>
                </c:pt>
                <c:pt idx="43" formatCode="0.0">
                  <c:v>83.263154950501757</c:v>
                </c:pt>
                <c:pt idx="44" formatCode="0.0">
                  <c:v>85.736581017037935</c:v>
                </c:pt>
                <c:pt idx="45" formatCode="0.0">
                  <c:v>86.280124120783398</c:v>
                </c:pt>
                <c:pt idx="46" formatCode="0.0">
                  <c:v>88.748577991415317</c:v>
                </c:pt>
                <c:pt idx="47" formatCode="0.0">
                  <c:v>89.287330345705911</c:v>
                </c:pt>
                <c:pt idx="48" formatCode="0.0">
                  <c:v>91.751190158875744</c:v>
                </c:pt>
                <c:pt idx="49" formatCode="0.0">
                  <c:v>92.285508106820089</c:v>
                </c:pt>
                <c:pt idx="50" formatCode="0.0">
                  <c:v>94.745108341914587</c:v>
                </c:pt>
                <c:pt idx="51" formatCode="0.0">
                  <c:v>95.275307993921572</c:v>
                </c:pt>
                <c:pt idx="52" formatCode="0.0">
                  <c:v>97.730946181636114</c:v>
                </c:pt>
                <c:pt idx="53" formatCode="0.0">
                  <c:v>98.257309467426154</c:v>
                </c:pt>
                <c:pt idx="54" formatCode="0.0">
                  <c:v>100.70925163195349</c:v>
                </c:pt>
                <c:pt idx="55" formatCode="0.0">
                  <c:v>101.23203123223146</c:v>
                </c:pt>
                <c:pt idx="56" formatCode="0.0">
                  <c:v>103.68051634620331</c:v>
                </c:pt>
                <c:pt idx="57" formatCode="0.0">
                  <c:v>104.199939747285</c:v>
                </c:pt>
                <c:pt idx="58" formatCode="0.0">
                  <c:v>106.64518340971856</c:v>
                </c:pt>
                <c:pt idx="59" formatCode="0.0">
                  <c:v>107.16145626435693</c:v>
                </c:pt>
                <c:pt idx="60" formatCode="0.0">
                  <c:v>109.60365376093127</c:v>
                </c:pt>
                <c:pt idx="61" formatCode="0.0">
                  <c:v>110.11696269501229</c:v>
                </c:pt>
                <c:pt idx="62" formatCode="0.0">
                  <c:v>112.55629156279181</c:v>
                </c:pt>
                <c:pt idx="63" formatCode="0.0">
                  <c:v>113.06680653552699</c:v>
                </c:pt>
                <c:pt idx="64" formatCode="0.0">
                  <c:v>115.50342872671777</c:v>
                </c:pt>
                <c:pt idx="65" formatCode="0.0">
                  <c:v>116.01130502810869</c:v>
                </c:pt>
                <c:pt idx="66" formatCode="0.0">
                  <c:v>118.44536874682228</c:v>
                </c:pt>
                <c:pt idx="67" formatCode="0.0">
                  <c:v>118.95074869821708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37-44BC-8514-3C5588E0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984352"/>
        <c:axId val="471983392"/>
      </c:lineChart>
      <c:catAx>
        <c:axId val="4719843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983392"/>
        <c:crosses val="autoZero"/>
        <c:auto val="1"/>
        <c:lblAlgn val="ctr"/>
        <c:lblOffset val="100"/>
        <c:noMultiLvlLbl val="0"/>
      </c:catAx>
      <c:valAx>
        <c:axId val="4719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98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Feuil13!$B$1</c:f>
              <c:strCache>
                <c:ptCount val="1"/>
                <c:pt idx="0">
                  <c:v>Valeurs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Feuil13!$B$2:$B$70</c:f>
              <c:numCache>
                <c:formatCode>0.0</c:formatCode>
                <c:ptCount val="69"/>
                <c:pt idx="0">
                  <c:v>14.440000000000001</c:v>
                </c:pt>
                <c:pt idx="1">
                  <c:v>12.391111111111115</c:v>
                </c:pt>
                <c:pt idx="2">
                  <c:v>12.639999999999999</c:v>
                </c:pt>
                <c:pt idx="3">
                  <c:v>14.516666666666667</c:v>
                </c:pt>
                <c:pt idx="4">
                  <c:v>19.392222222222216</c:v>
                </c:pt>
                <c:pt idx="5">
                  <c:v>18.827777777777779</c:v>
                </c:pt>
                <c:pt idx="6">
                  <c:v>19.849851851851327</c:v>
                </c:pt>
                <c:pt idx="7">
                  <c:v>21.130391534391038</c:v>
                </c:pt>
                <c:pt idx="8">
                  <c:v>22.410931216930749</c:v>
                </c:pt>
                <c:pt idx="9">
                  <c:v>23.69147089947046</c:v>
                </c:pt>
                <c:pt idx="10">
                  <c:v>25.091470899470458</c:v>
                </c:pt>
                <c:pt idx="11">
                  <c:v>26.291470899470458</c:v>
                </c:pt>
                <c:pt idx="12">
                  <c:v>27.391470899470459</c:v>
                </c:pt>
                <c:pt idx="13">
                  <c:v>28.291470899470458</c:v>
                </c:pt>
                <c:pt idx="14">
                  <c:v>29.091470899470458</c:v>
                </c:pt>
                <c:pt idx="15">
                  <c:v>29.561470899470457</c:v>
                </c:pt>
                <c:pt idx="16">
                  <c:v>29.911470899470459</c:v>
                </c:pt>
                <c:pt idx="17">
                  <c:v>30.098613756613315</c:v>
                </c:pt>
                <c:pt idx="18">
                  <c:v>30.110399470899033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6-456D-BF97-2D9C4F14F6A9}"/>
            </c:ext>
          </c:extLst>
        </c:ser>
        <c:ser>
          <c:idx val="1"/>
          <c:order val="1"/>
          <c:tx>
            <c:strRef>
              <c:f>Feuil13!$C$1</c:f>
              <c:strCache>
                <c:ptCount val="1"/>
                <c:pt idx="0">
                  <c:v>Prévision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Feuil13!$A$2:$A$70</c:f>
              <c:numCache>
                <c:formatCode>General</c:formatCode>
                <c:ptCount val="6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</c:numCache>
            </c:numRef>
          </c:cat>
          <c:val>
            <c:numRef>
              <c:f>Feuil13!$C$2:$C$70</c:f>
              <c:numCache>
                <c:formatCode>General</c:formatCode>
                <c:ptCount val="69"/>
                <c:pt idx="17" formatCode="0.0">
                  <c:v>30.098613756613315</c:v>
                </c:pt>
                <c:pt idx="18" formatCode="0.0">
                  <c:v>32.062966014527859</c:v>
                </c:pt>
                <c:pt idx="19" formatCode="0.0">
                  <c:v>33.339422823523016</c:v>
                </c:pt>
                <c:pt idx="20" formatCode="0.0">
                  <c:v>33.599086626748019</c:v>
                </c:pt>
                <c:pt idx="21" formatCode="0.0">
                  <c:v>35.468261852700856</c:v>
                </c:pt>
                <c:pt idx="22" formatCode="0.0">
                  <c:v>36.744718661696012</c:v>
                </c:pt>
                <c:pt idx="23" formatCode="0.0">
                  <c:v>37.004382464921015</c:v>
                </c:pt>
                <c:pt idx="24" formatCode="0.0">
                  <c:v>38.873557690873859</c:v>
                </c:pt>
                <c:pt idx="25" formatCode="0.0">
                  <c:v>40.150014499869016</c:v>
                </c:pt>
                <c:pt idx="26" formatCode="0.0">
                  <c:v>40.409678303094019</c:v>
                </c:pt>
                <c:pt idx="27" formatCode="0.0">
                  <c:v>42.278853529046863</c:v>
                </c:pt>
                <c:pt idx="28" formatCode="0.0">
                  <c:v>43.55531033804202</c:v>
                </c:pt>
                <c:pt idx="29" formatCode="0.0">
                  <c:v>43.814974141267022</c:v>
                </c:pt>
                <c:pt idx="30" formatCode="0.0">
                  <c:v>45.684149367219867</c:v>
                </c:pt>
                <c:pt idx="31" formatCode="0.0">
                  <c:v>46.960606176215016</c:v>
                </c:pt>
                <c:pt idx="32" formatCode="0.0">
                  <c:v>47.220269979440019</c:v>
                </c:pt>
                <c:pt idx="33" formatCode="0.0">
                  <c:v>49.089445205392863</c:v>
                </c:pt>
                <c:pt idx="34" formatCode="0.0">
                  <c:v>50.36590201438802</c:v>
                </c:pt>
                <c:pt idx="35" formatCode="0.0">
                  <c:v>50.625565817613023</c:v>
                </c:pt>
                <c:pt idx="36" formatCode="0.0">
                  <c:v>52.49474104356586</c:v>
                </c:pt>
                <c:pt idx="37" formatCode="0.0">
                  <c:v>53.771197852561016</c:v>
                </c:pt>
                <c:pt idx="38" formatCode="0.0">
                  <c:v>54.030861655786019</c:v>
                </c:pt>
                <c:pt idx="39" formatCode="0.0">
                  <c:v>55.900036881738863</c:v>
                </c:pt>
                <c:pt idx="40" formatCode="0.0">
                  <c:v>57.17649369073402</c:v>
                </c:pt>
                <c:pt idx="41" formatCode="0.0">
                  <c:v>57.436157493959023</c:v>
                </c:pt>
                <c:pt idx="42" formatCode="0.0">
                  <c:v>59.305332719911867</c:v>
                </c:pt>
                <c:pt idx="43" formatCode="0.0">
                  <c:v>60.581789528907024</c:v>
                </c:pt>
                <c:pt idx="44" formatCode="0.0">
                  <c:v>60.841453332132026</c:v>
                </c:pt>
                <c:pt idx="45" formatCode="0.0">
                  <c:v>62.710628558084871</c:v>
                </c:pt>
                <c:pt idx="46" formatCode="0.0">
                  <c:v>63.98708536708002</c:v>
                </c:pt>
                <c:pt idx="47" formatCode="0.0">
                  <c:v>64.246749170305023</c:v>
                </c:pt>
                <c:pt idx="48" formatCode="0.0">
                  <c:v>66.115924396257867</c:v>
                </c:pt>
                <c:pt idx="49" formatCode="0.0">
                  <c:v>67.392381205253031</c:v>
                </c:pt>
                <c:pt idx="50" formatCode="0.0">
                  <c:v>67.652045008478026</c:v>
                </c:pt>
                <c:pt idx="51" formatCode="0.0">
                  <c:v>69.521220234430871</c:v>
                </c:pt>
                <c:pt idx="52" formatCode="0.0">
                  <c:v>70.797677043426035</c:v>
                </c:pt>
                <c:pt idx="53" formatCode="0.0">
                  <c:v>71.05734084665103</c:v>
                </c:pt>
                <c:pt idx="54" formatCode="0.0">
                  <c:v>72.92651607260386</c:v>
                </c:pt>
                <c:pt idx="55" formatCode="0.0">
                  <c:v>74.202972881599024</c:v>
                </c:pt>
                <c:pt idx="56" formatCode="0.0">
                  <c:v>74.46263668482402</c:v>
                </c:pt>
                <c:pt idx="57" formatCode="0.0">
                  <c:v>76.331811910776864</c:v>
                </c:pt>
                <c:pt idx="58" formatCode="0.0">
                  <c:v>77.608268719772028</c:v>
                </c:pt>
                <c:pt idx="59" formatCode="0.0">
                  <c:v>77.867932522997023</c:v>
                </c:pt>
                <c:pt idx="60" formatCode="0.0">
                  <c:v>79.737107748949867</c:v>
                </c:pt>
                <c:pt idx="61" formatCode="0.0">
                  <c:v>81.013564557945017</c:v>
                </c:pt>
                <c:pt idx="62" formatCode="0.0">
                  <c:v>81.273228361170013</c:v>
                </c:pt>
                <c:pt idx="63" formatCode="0.0">
                  <c:v>83.142403587122857</c:v>
                </c:pt>
                <c:pt idx="64" formatCode="0.0">
                  <c:v>84.418860396118021</c:v>
                </c:pt>
                <c:pt idx="65" formatCode="0.0">
                  <c:v>84.678524199343016</c:v>
                </c:pt>
                <c:pt idx="66" formatCode="0.0">
                  <c:v>86.54769942529586</c:v>
                </c:pt>
                <c:pt idx="67" formatCode="0.0">
                  <c:v>87.824156234291024</c:v>
                </c:pt>
                <c:pt idx="68" formatCode="0.0">
                  <c:v>88.08382003751602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6-456D-BF97-2D9C4F14F6A9}"/>
            </c:ext>
          </c:extLst>
        </c:ser>
        <c:ser>
          <c:idx val="2"/>
          <c:order val="2"/>
          <c:tx>
            <c:strRef>
              <c:f>Feuil13!$D$1</c:f>
              <c:strCache>
                <c:ptCount val="1"/>
                <c:pt idx="0">
                  <c:v>Limite de confiance inférieure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Feuil13!$A$2:$A$70</c:f>
              <c:numCache>
                <c:formatCode>General</c:formatCode>
                <c:ptCount val="6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</c:numCache>
            </c:numRef>
          </c:cat>
          <c:val>
            <c:numRef>
              <c:f>Feuil13!$D$2:$D$70</c:f>
              <c:numCache>
                <c:formatCode>General</c:formatCode>
                <c:ptCount val="69"/>
                <c:pt idx="17" formatCode="0.0">
                  <c:v>30.098613756613315</c:v>
                </c:pt>
                <c:pt idx="18" formatCode="0.0">
                  <c:v>29.478547245026764</c:v>
                </c:pt>
                <c:pt idx="19" formatCode="0.0">
                  <c:v>30.105795415217656</c:v>
                </c:pt>
                <c:pt idx="20" formatCode="0.0">
                  <c:v>29.825027236382809</c:v>
                </c:pt>
                <c:pt idx="21" formatCode="0.0">
                  <c:v>31.219633029548795</c:v>
                </c:pt>
                <c:pt idx="22" formatCode="0.0">
                  <c:v>32.069446533591261</c:v>
                </c:pt>
                <c:pt idx="23" formatCode="0.0">
                  <c:v>31.937274377585979</c:v>
                </c:pt>
                <c:pt idx="24" formatCode="0.0">
                  <c:v>33.440950218863932</c:v>
                </c:pt>
                <c:pt idx="25" formatCode="0.0">
                  <c:v>34.374993848724976</c:v>
                </c:pt>
                <c:pt idx="26" formatCode="0.0">
                  <c:v>34.310609892701109</c:v>
                </c:pt>
                <c:pt idx="27" formatCode="0.0">
                  <c:v>35.870522056806301</c:v>
                </c:pt>
                <c:pt idx="28" formatCode="0.0">
                  <c:v>36.851968705575047</c:v>
                </c:pt>
                <c:pt idx="29" formatCode="0.0">
                  <c:v>36.828341312954521</c:v>
                </c:pt>
                <c:pt idx="30" formatCode="0.0">
                  <c:v>38.423868897821258</c:v>
                </c:pt>
                <c:pt idx="31" formatCode="0.0">
                  <c:v>39.436624071570698</c:v>
                </c:pt>
                <c:pt idx="32" formatCode="0.0">
                  <c:v>39.44086425305963</c:v>
                </c:pt>
                <c:pt idx="33" formatCode="0.0">
                  <c:v>41.06146505273275</c:v>
                </c:pt>
                <c:pt idx="34" formatCode="0.0">
                  <c:v>42.096816381298389</c:v>
                </c:pt>
                <c:pt idx="35" formatCode="0.0">
                  <c:v>42.121605464547436</c:v>
                </c:pt>
                <c:pt idx="36" formatCode="0.0">
                  <c:v>43.761044721416205</c:v>
                </c:pt>
                <c:pt idx="37" formatCode="0.0">
                  <c:v>44.81365571151867</c:v>
                </c:pt>
                <c:pt idx="38" formatCode="0.0">
                  <c:v>44.854371932140694</c:v>
                </c:pt>
                <c:pt idx="39" formatCode="0.0">
                  <c:v>46.508605067563323</c:v>
                </c:pt>
                <c:pt idx="40" formatCode="0.0">
                  <c:v>47.574930308010934</c:v>
                </c:pt>
                <c:pt idx="41" formatCode="0.0">
                  <c:v>47.628437064699689</c:v>
                </c:pt>
                <c:pt idx="42" formatCode="0.0">
                  <c:v>49.294666097366736</c:v>
                </c:pt>
                <c:pt idx="43" formatCode="0.0">
                  <c:v>50.372210084240002</c:v>
                </c:pt>
                <c:pt idx="44" formatCode="0.0">
                  <c:v>50.436264651697641</c:v>
                </c:pt>
                <c:pt idx="45" formatCode="0.0">
                  <c:v>52.112460025374951</c:v>
                </c:pt>
                <c:pt idx="46" formatCode="0.0">
                  <c:v>53.199388624030291</c:v>
                </c:pt>
                <c:pt idx="47" formatCode="0.0">
                  <c:v>53.2723225931733</c:v>
                </c:pt>
                <c:pt idx="48" formatCode="0.0">
                  <c:v>54.956957497025677</c:v>
                </c:pt>
                <c:pt idx="49" formatCode="0.0">
                  <c:v>56.051876550720934</c:v>
                </c:pt>
                <c:pt idx="50" formatCode="0.0">
                  <c:v>56.13240949511836</c:v>
                </c:pt>
                <c:pt idx="51" formatCode="0.0">
                  <c:v>57.824301625799365</c:v>
                </c:pt>
                <c:pt idx="52" formatCode="0.0">
                  <c:v>58.926122490072764</c:v>
                </c:pt>
                <c:pt idx="53" formatCode="0.0">
                  <c:v>59.0132467277583</c:v>
                </c:pt>
                <c:pt idx="54" formatCode="0.0">
                  <c:v>60.711458767703718</c:v>
                </c:pt>
                <c:pt idx="55" formatCode="0.0">
                  <c:v>61.819312405825229</c:v>
                </c:pt>
                <c:pt idx="56" formatCode="0.0">
                  <c:v>61.912218296299152</c:v>
                </c:pt>
                <c:pt idx="57" formatCode="0.0">
                  <c:v>63.615992510864302</c:v>
                </c:pt>
                <c:pt idx="58" formatCode="0.0">
                  <c:v>64.729172311430233</c:v>
                </c:pt>
                <c:pt idx="59" formatCode="0.0">
                  <c:v>64.827197927684253</c:v>
                </c:pt>
                <c:pt idx="60" formatCode="0.0">
                  <c:v>66.535911600022843</c:v>
                </c:pt>
                <c:pt idx="61" formatCode="0.0">
                  <c:v>67.653833994063731</c:v>
                </c:pt>
                <c:pt idx="62" formatCode="0.0">
                  <c:v>67.756430108708756</c:v>
                </c:pt>
                <c:pt idx="63" formatCode="0.0">
                  <c:v>69.469564237022482</c:v>
                </c:pt>
                <c:pt idx="64" formatCode="0.0">
                  <c:v>70.591740783213567</c:v>
                </c:pt>
                <c:pt idx="65" formatCode="0.0">
                  <c:v>70.698445836115553</c:v>
                </c:pt>
                <c:pt idx="66" formatCode="0.0">
                  <c:v>72.415562570498707</c:v>
                </c:pt>
                <c:pt idx="67" formatCode="0.0">
                  <c:v>73.541579676699882</c:v>
                </c:pt>
                <c:pt idx="68" formatCode="0.0">
                  <c:v>73.652001455091636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6-456D-BF97-2D9C4F14F6A9}"/>
            </c:ext>
          </c:extLst>
        </c:ser>
        <c:ser>
          <c:idx val="3"/>
          <c:order val="3"/>
          <c:tx>
            <c:strRef>
              <c:f>Feuil13!$E$1</c:f>
              <c:strCache>
                <c:ptCount val="1"/>
                <c:pt idx="0">
                  <c:v>Limite de confiance supérieure</c:v>
                </c:pt>
              </c:strCache>
            </c:strRef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Feuil13!$A$2:$A$70</c:f>
              <c:numCache>
                <c:formatCode>General</c:formatCode>
                <c:ptCount val="6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  <c:pt idx="41">
                  <c:v>2061</c:v>
                </c:pt>
                <c:pt idx="42">
                  <c:v>2062</c:v>
                </c:pt>
                <c:pt idx="43">
                  <c:v>2063</c:v>
                </c:pt>
                <c:pt idx="44">
                  <c:v>2064</c:v>
                </c:pt>
                <c:pt idx="45">
                  <c:v>2065</c:v>
                </c:pt>
                <c:pt idx="46">
                  <c:v>2066</c:v>
                </c:pt>
                <c:pt idx="47">
                  <c:v>2067</c:v>
                </c:pt>
                <c:pt idx="48">
                  <c:v>2068</c:v>
                </c:pt>
                <c:pt idx="49">
                  <c:v>2069</c:v>
                </c:pt>
                <c:pt idx="50">
                  <c:v>2070</c:v>
                </c:pt>
                <c:pt idx="51">
                  <c:v>2071</c:v>
                </c:pt>
                <c:pt idx="52">
                  <c:v>2072</c:v>
                </c:pt>
                <c:pt idx="53">
                  <c:v>2073</c:v>
                </c:pt>
                <c:pt idx="54">
                  <c:v>2074</c:v>
                </c:pt>
                <c:pt idx="55">
                  <c:v>2075</c:v>
                </c:pt>
                <c:pt idx="56">
                  <c:v>2076</c:v>
                </c:pt>
                <c:pt idx="57">
                  <c:v>2077</c:v>
                </c:pt>
                <c:pt idx="58">
                  <c:v>2078</c:v>
                </c:pt>
                <c:pt idx="59">
                  <c:v>2079</c:v>
                </c:pt>
                <c:pt idx="60">
                  <c:v>2080</c:v>
                </c:pt>
                <c:pt idx="61">
                  <c:v>2081</c:v>
                </c:pt>
                <c:pt idx="62">
                  <c:v>2082</c:v>
                </c:pt>
                <c:pt idx="63">
                  <c:v>2083</c:v>
                </c:pt>
                <c:pt idx="64">
                  <c:v>2084</c:v>
                </c:pt>
                <c:pt idx="65">
                  <c:v>2085</c:v>
                </c:pt>
                <c:pt idx="66">
                  <c:v>2086</c:v>
                </c:pt>
                <c:pt idx="67">
                  <c:v>2087</c:v>
                </c:pt>
                <c:pt idx="68">
                  <c:v>2088</c:v>
                </c:pt>
              </c:numCache>
            </c:numRef>
          </c:cat>
          <c:val>
            <c:numRef>
              <c:f>Feuil13!$E$2:$E$70</c:f>
              <c:numCache>
                <c:formatCode>General</c:formatCode>
                <c:ptCount val="69"/>
                <c:pt idx="17" formatCode="0.0">
                  <c:v>30.098613756613315</c:v>
                </c:pt>
                <c:pt idx="18" formatCode="0.0">
                  <c:v>34.647384784028958</c:v>
                </c:pt>
                <c:pt idx="19" formatCode="0.0">
                  <c:v>36.573050231828375</c:v>
                </c:pt>
                <c:pt idx="20" formatCode="0.0">
                  <c:v>37.373146017113228</c:v>
                </c:pt>
                <c:pt idx="21" formatCode="0.0">
                  <c:v>39.716890675852916</c:v>
                </c:pt>
                <c:pt idx="22" formatCode="0.0">
                  <c:v>41.419990789800764</c:v>
                </c:pt>
                <c:pt idx="23" formatCode="0.0">
                  <c:v>42.071490552256051</c:v>
                </c:pt>
                <c:pt idx="24" formatCode="0.0">
                  <c:v>44.306165162883786</c:v>
                </c:pt>
                <c:pt idx="25" formatCode="0.0">
                  <c:v>45.925035151013056</c:v>
                </c:pt>
                <c:pt idx="26" formatCode="0.0">
                  <c:v>46.508746713486929</c:v>
                </c:pt>
                <c:pt idx="27" formatCode="0.0">
                  <c:v>48.687185001287425</c:v>
                </c:pt>
                <c:pt idx="28" formatCode="0.0">
                  <c:v>50.258651970508993</c:v>
                </c:pt>
                <c:pt idx="29" formatCode="0.0">
                  <c:v>50.801606969579524</c:v>
                </c:pt>
                <c:pt idx="30" formatCode="0.0">
                  <c:v>52.944429836618475</c:v>
                </c:pt>
                <c:pt idx="31" formatCode="0.0">
                  <c:v>54.484588280859334</c:v>
                </c:pt>
                <c:pt idx="32" formatCode="0.0">
                  <c:v>54.999675705820408</c:v>
                </c:pt>
                <c:pt idx="33" formatCode="0.0">
                  <c:v>57.117425358052976</c:v>
                </c:pt>
                <c:pt idx="34" formatCode="0.0">
                  <c:v>58.634987647477651</c:v>
                </c:pt>
                <c:pt idx="35" formatCode="0.0">
                  <c:v>59.129526170678609</c:v>
                </c:pt>
                <c:pt idx="36" formatCode="0.0">
                  <c:v>61.228437365715514</c:v>
                </c:pt>
                <c:pt idx="37" formatCode="0.0">
                  <c:v>62.728739993603362</c:v>
                </c:pt>
                <c:pt idx="38" formatCode="0.0">
                  <c:v>63.207351379431344</c:v>
                </c:pt>
                <c:pt idx="39" formatCode="0.0">
                  <c:v>65.291468695914403</c:v>
                </c:pt>
                <c:pt idx="40" formatCode="0.0">
                  <c:v>66.778057073457106</c:v>
                </c:pt>
                <c:pt idx="41" formatCode="0.0">
                  <c:v>67.243877923218363</c:v>
                </c:pt>
                <c:pt idx="42" formatCode="0.0">
                  <c:v>69.315999342457005</c:v>
                </c:pt>
                <c:pt idx="43" formatCode="0.0">
                  <c:v>70.791368973574052</c:v>
                </c:pt>
                <c:pt idx="44" formatCode="0.0">
                  <c:v>71.246642012566411</c:v>
                </c:pt>
                <c:pt idx="45" formatCode="0.0">
                  <c:v>73.308797090794798</c:v>
                </c:pt>
                <c:pt idx="46" formatCode="0.0">
                  <c:v>74.774782110129749</c:v>
                </c:pt>
                <c:pt idx="47" formatCode="0.0">
                  <c:v>75.221175747436746</c:v>
                </c:pt>
                <c:pt idx="48" formatCode="0.0">
                  <c:v>77.27489129549005</c:v>
                </c:pt>
                <c:pt idx="49" formatCode="0.0">
                  <c:v>78.732885859785128</c:v>
                </c:pt>
                <c:pt idx="50" formatCode="0.0">
                  <c:v>79.1716805218377</c:v>
                </c:pt>
                <c:pt idx="51" formatCode="0.0">
                  <c:v>81.218138843062377</c:v>
                </c:pt>
                <c:pt idx="52" formatCode="0.0">
                  <c:v>82.669231596779298</c:v>
                </c:pt>
                <c:pt idx="53" formatCode="0.0">
                  <c:v>83.10143496554376</c:v>
                </c:pt>
                <c:pt idx="54" formatCode="0.0">
                  <c:v>85.141573377504002</c:v>
                </c:pt>
                <c:pt idx="55" formatCode="0.0">
                  <c:v>86.586633357372818</c:v>
                </c:pt>
                <c:pt idx="56" formatCode="0.0">
                  <c:v>87.01305507334888</c:v>
                </c:pt>
                <c:pt idx="57" formatCode="0.0">
                  <c:v>89.047631310689425</c:v>
                </c:pt>
                <c:pt idx="58" formatCode="0.0">
                  <c:v>90.487365128113822</c:v>
                </c:pt>
                <c:pt idx="59" formatCode="0.0">
                  <c:v>90.908667118309793</c:v>
                </c:pt>
                <c:pt idx="60" formatCode="0.0">
                  <c:v>92.938303897876892</c:v>
                </c:pt>
                <c:pt idx="61" formatCode="0.0">
                  <c:v>94.373295121826303</c:v>
                </c:pt>
                <c:pt idx="62" formatCode="0.0">
                  <c:v>94.790026613631269</c:v>
                </c:pt>
                <c:pt idx="63" formatCode="0.0">
                  <c:v>96.815242937223232</c:v>
                </c:pt>
                <c:pt idx="64" formatCode="0.0">
                  <c:v>98.245980009022475</c:v>
                </c:pt>
                <c:pt idx="65" formatCode="0.0">
                  <c:v>98.658602562570479</c:v>
                </c:pt>
                <c:pt idx="66" formatCode="0.0">
                  <c:v>100.67983628009301</c:v>
                </c:pt>
                <c:pt idx="67" formatCode="0.0">
                  <c:v>102.10673279188217</c:v>
                </c:pt>
                <c:pt idx="68" formatCode="0.0">
                  <c:v>102.5156386199404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6-456D-BF97-2D9C4F14F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1208703"/>
        <c:axId val="1201209183"/>
      </c:lineChart>
      <c:catAx>
        <c:axId val="120120870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1209183"/>
        <c:crosses val="autoZero"/>
        <c:auto val="1"/>
        <c:lblAlgn val="ctr"/>
        <c:lblOffset val="100"/>
        <c:noMultiLvlLbl val="0"/>
      </c:catAx>
      <c:valAx>
        <c:axId val="12012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120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baseline="0"/>
              <a:t>Electricity price forecast in Switzerland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Observed values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Feuil14!$B$2:$B$79</c:f>
              <c:numCache>
                <c:formatCode>General</c:formatCode>
                <c:ptCount val="78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  <c:pt idx="16">
                  <c:v>28.130391534391038</c:v>
                </c:pt>
                <c:pt idx="17">
                  <c:v>28.410931216930749</c:v>
                </c:pt>
                <c:pt idx="18">
                  <c:v>29.69147089947046</c:v>
                </c:pt>
                <c:pt idx="19">
                  <c:v>31.091470899470458</c:v>
                </c:pt>
                <c:pt idx="20">
                  <c:v>32.291470899470454</c:v>
                </c:pt>
                <c:pt idx="21">
                  <c:v>33.391470899470463</c:v>
                </c:pt>
                <c:pt idx="22">
                  <c:v>34.291470899470454</c:v>
                </c:pt>
                <c:pt idx="23">
                  <c:v>35.091470899470458</c:v>
                </c:pt>
                <c:pt idx="24">
                  <c:v>35.561470899470457</c:v>
                </c:pt>
                <c:pt idx="25">
                  <c:v>35.911470899470459</c:v>
                </c:pt>
                <c:pt idx="26">
                  <c:v>36.098613756613318</c:v>
                </c:pt>
                <c:pt idx="27">
                  <c:v>37.110399470899033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D-4038-9803-50B673C31AF0}"/>
            </c:ext>
          </c:extLst>
        </c:ser>
        <c:ser>
          <c:idx val="1"/>
          <c:order val="1"/>
          <c:tx>
            <c:v>Forecast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Feuil14!$A$2:$A$79</c:f>
              <c:numCache>
                <c:formatCode>General</c:formatCode>
                <c:ptCount val="7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  <c:pt idx="66">
                  <c:v>2077</c:v>
                </c:pt>
                <c:pt idx="67">
                  <c:v>2078</c:v>
                </c:pt>
                <c:pt idx="68">
                  <c:v>2079</c:v>
                </c:pt>
                <c:pt idx="69">
                  <c:v>2080</c:v>
                </c:pt>
                <c:pt idx="70">
                  <c:v>2081</c:v>
                </c:pt>
                <c:pt idx="71">
                  <c:v>2082</c:v>
                </c:pt>
                <c:pt idx="72">
                  <c:v>2083</c:v>
                </c:pt>
                <c:pt idx="73">
                  <c:v>2084</c:v>
                </c:pt>
                <c:pt idx="74">
                  <c:v>2085</c:v>
                </c:pt>
                <c:pt idx="75">
                  <c:v>2086</c:v>
                </c:pt>
                <c:pt idx="76">
                  <c:v>2087</c:v>
                </c:pt>
                <c:pt idx="77">
                  <c:v>2088</c:v>
                </c:pt>
              </c:numCache>
            </c:numRef>
          </c:cat>
          <c:val>
            <c:numRef>
              <c:f>Feuil14!$C$2:$C$79</c:f>
              <c:numCache>
                <c:formatCode>General</c:formatCode>
                <c:ptCount val="78"/>
                <c:pt idx="25">
                  <c:v>35.911470899470459</c:v>
                </c:pt>
                <c:pt idx="26">
                  <c:v>36.012618103749638</c:v>
                </c:pt>
                <c:pt idx="27">
                  <c:v>36.49712498876103</c:v>
                </c:pt>
                <c:pt idx="28">
                  <c:v>37.197456911348496</c:v>
                </c:pt>
                <c:pt idx="29">
                  <c:v>37.672744636894549</c:v>
                </c:pt>
                <c:pt idx="30">
                  <c:v>37.676372090840978</c:v>
                </c:pt>
                <c:pt idx="31">
                  <c:v>37.87378903799636</c:v>
                </c:pt>
                <c:pt idx="32">
                  <c:v>40.105245237966777</c:v>
                </c:pt>
                <c:pt idx="33">
                  <c:v>43.043788879259282</c:v>
                </c:pt>
                <c:pt idx="34">
                  <c:v>43.408997724402226</c:v>
                </c:pt>
                <c:pt idx="35">
                  <c:v>43.404886409200493</c:v>
                </c:pt>
                <c:pt idx="36">
                  <c:v>43.506742240986817</c:v>
                </c:pt>
                <c:pt idx="37">
                  <c:v>43.991249125998209</c:v>
                </c:pt>
                <c:pt idx="38">
                  <c:v>44.691581048585675</c:v>
                </c:pt>
                <c:pt idx="39">
                  <c:v>45.166868774131729</c:v>
                </c:pt>
                <c:pt idx="40">
                  <c:v>45.170496228078157</c:v>
                </c:pt>
                <c:pt idx="41">
                  <c:v>45.367913175233539</c:v>
                </c:pt>
                <c:pt idx="42">
                  <c:v>47.599369375203956</c:v>
                </c:pt>
                <c:pt idx="43">
                  <c:v>50.537913016496461</c:v>
                </c:pt>
                <c:pt idx="44">
                  <c:v>50.903121861639406</c:v>
                </c:pt>
                <c:pt idx="45">
                  <c:v>50.899010546437673</c:v>
                </c:pt>
                <c:pt idx="46">
                  <c:v>51.000866378224003</c:v>
                </c:pt>
                <c:pt idx="47">
                  <c:v>51.485373263235388</c:v>
                </c:pt>
                <c:pt idx="48">
                  <c:v>52.185705185822854</c:v>
                </c:pt>
                <c:pt idx="49">
                  <c:v>52.660992911368915</c:v>
                </c:pt>
                <c:pt idx="50">
                  <c:v>52.664620365315344</c:v>
                </c:pt>
                <c:pt idx="51">
                  <c:v>52.862037312470726</c:v>
                </c:pt>
                <c:pt idx="52">
                  <c:v>55.093493512441142</c:v>
                </c:pt>
                <c:pt idx="53">
                  <c:v>58.032037153733647</c:v>
                </c:pt>
                <c:pt idx="54">
                  <c:v>58.397245998876592</c:v>
                </c:pt>
                <c:pt idx="55">
                  <c:v>58.393134683674859</c:v>
                </c:pt>
                <c:pt idx="56">
                  <c:v>58.494990515461183</c:v>
                </c:pt>
                <c:pt idx="57">
                  <c:v>58.979497400472574</c:v>
                </c:pt>
                <c:pt idx="58">
                  <c:v>59.679829323060041</c:v>
                </c:pt>
                <c:pt idx="59">
                  <c:v>60.155117048606094</c:v>
                </c:pt>
                <c:pt idx="60">
                  <c:v>60.158744502552523</c:v>
                </c:pt>
                <c:pt idx="61">
                  <c:v>60.356161449707905</c:v>
                </c:pt>
                <c:pt idx="62">
                  <c:v>62.587617649678322</c:v>
                </c:pt>
                <c:pt idx="63">
                  <c:v>65.526161290970833</c:v>
                </c:pt>
                <c:pt idx="64">
                  <c:v>65.891370136113778</c:v>
                </c:pt>
                <c:pt idx="65">
                  <c:v>65.887258820912052</c:v>
                </c:pt>
                <c:pt idx="66">
                  <c:v>65.989114652698376</c:v>
                </c:pt>
                <c:pt idx="67">
                  <c:v>66.473621537709761</c:v>
                </c:pt>
                <c:pt idx="68">
                  <c:v>67.173953460297227</c:v>
                </c:pt>
                <c:pt idx="69">
                  <c:v>67.64924118584328</c:v>
                </c:pt>
                <c:pt idx="70">
                  <c:v>67.652868639789702</c:v>
                </c:pt>
                <c:pt idx="71">
                  <c:v>67.850285586945091</c:v>
                </c:pt>
                <c:pt idx="72">
                  <c:v>70.081741786915501</c:v>
                </c:pt>
                <c:pt idx="73">
                  <c:v>73.020285428208012</c:v>
                </c:pt>
                <c:pt idx="74">
                  <c:v>73.385494273350957</c:v>
                </c:pt>
                <c:pt idx="75">
                  <c:v>73.381382958149231</c:v>
                </c:pt>
                <c:pt idx="76">
                  <c:v>73.483238789935555</c:v>
                </c:pt>
                <c:pt idx="77">
                  <c:v>73.96774567494694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D-4038-9803-50B673C31AF0}"/>
            </c:ext>
          </c:extLst>
        </c:ser>
        <c:ser>
          <c:idx val="2"/>
          <c:order val="2"/>
          <c:tx>
            <c:v>Lower confidence bound</c:v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Feuil14!$A$2:$A$79</c:f>
              <c:numCache>
                <c:formatCode>General</c:formatCode>
                <c:ptCount val="7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  <c:pt idx="66">
                  <c:v>2077</c:v>
                </c:pt>
                <c:pt idx="67">
                  <c:v>2078</c:v>
                </c:pt>
                <c:pt idx="68">
                  <c:v>2079</c:v>
                </c:pt>
                <c:pt idx="69">
                  <c:v>2080</c:v>
                </c:pt>
                <c:pt idx="70">
                  <c:v>2081</c:v>
                </c:pt>
                <c:pt idx="71">
                  <c:v>2082</c:v>
                </c:pt>
                <c:pt idx="72">
                  <c:v>2083</c:v>
                </c:pt>
                <c:pt idx="73">
                  <c:v>2084</c:v>
                </c:pt>
                <c:pt idx="74">
                  <c:v>2085</c:v>
                </c:pt>
                <c:pt idx="75">
                  <c:v>2086</c:v>
                </c:pt>
                <c:pt idx="76">
                  <c:v>2087</c:v>
                </c:pt>
                <c:pt idx="77">
                  <c:v>2088</c:v>
                </c:pt>
              </c:numCache>
            </c:numRef>
          </c:cat>
          <c:val>
            <c:numRef>
              <c:f>Feuil14!$D$2:$D$79</c:f>
              <c:numCache>
                <c:formatCode>General</c:formatCode>
                <c:ptCount val="78"/>
                <c:pt idx="25" formatCode="0.00">
                  <c:v>35.911470899470459</c:v>
                </c:pt>
                <c:pt idx="26" formatCode="0.00">
                  <c:v>30.961424343105453</c:v>
                </c:pt>
                <c:pt idx="27" formatCode="0.00">
                  <c:v>30.847457911629014</c:v>
                </c:pt>
                <c:pt idx="28" formatCode="0.00">
                  <c:v>31.004839624661802</c:v>
                </c:pt>
                <c:pt idx="29" formatCode="0.00">
                  <c:v>30.979171467987531</c:v>
                </c:pt>
                <c:pt idx="30" formatCode="0.00">
                  <c:v>30.515015526895187</c:v>
                </c:pt>
                <c:pt idx="31" formatCode="0.00">
                  <c:v>30.271692084269699</c:v>
                </c:pt>
                <c:pt idx="32" formatCode="0.00">
                  <c:v>32.08498816164429</c:v>
                </c:pt>
                <c:pt idx="33" formatCode="0.00">
                  <c:v>34.624583733023172</c:v>
                </c:pt>
                <c:pt idx="34" formatCode="0.00">
                  <c:v>34.607440799897333</c:v>
                </c:pt>
                <c:pt idx="35" formatCode="0.00">
                  <c:v>34.235494848028523</c:v>
                </c:pt>
                <c:pt idx="36" formatCode="0.00">
                  <c:v>33.01609742094692</c:v>
                </c:pt>
                <c:pt idx="37" formatCode="0.00">
                  <c:v>33.187730451687827</c:v>
                </c:pt>
                <c:pt idx="38" formatCode="0.00">
                  <c:v>33.582823055661024</c:v>
                </c:pt>
                <c:pt idx="39" formatCode="0.00">
                  <c:v>33.759890867300783</c:v>
                </c:pt>
                <c:pt idx="40" formatCode="0.00">
                  <c:v>33.47177880949009</c:v>
                </c:pt>
                <c:pt idx="41" formatCode="0.00">
                  <c:v>33.383461248106293</c:v>
                </c:pt>
                <c:pt idx="42" formatCode="0.00">
                  <c:v>35.334766150599009</c:v>
                </c:pt>
                <c:pt idx="43" formatCode="0.00">
                  <c:v>37.998365454515159</c:v>
                </c:pt>
                <c:pt idx="44" formatCode="0.00">
                  <c:v>38.093499641240228</c:v>
                </c:pt>
                <c:pt idx="45" formatCode="0.00">
                  <c:v>37.823879633266444</c:v>
                </c:pt>
                <c:pt idx="46" formatCode="0.00">
                  <c:v>36.949091729475555</c:v>
                </c:pt>
                <c:pt idx="47" formatCode="0.00">
                  <c:v>37.189287504262097</c:v>
                </c:pt>
                <c:pt idx="48" formatCode="0.00">
                  <c:v>37.648498543518862</c:v>
                </c:pt>
                <c:pt idx="49" formatCode="0.00">
                  <c:v>37.885697699167167</c:v>
                </c:pt>
                <c:pt idx="50" formatCode="0.00">
                  <c:v>37.654122905303268</c:v>
                </c:pt>
                <c:pt idx="51" formatCode="0.00">
                  <c:v>37.619088642409686</c:v>
                </c:pt>
                <c:pt idx="52" formatCode="0.00">
                  <c:v>39.620719032080849</c:v>
                </c:pt>
                <c:pt idx="53" formatCode="0.00">
                  <c:v>42.331945341515961</c:v>
                </c:pt>
                <c:pt idx="54" formatCode="0.00">
                  <c:v>42.472236310868198</c:v>
                </c:pt>
                <c:pt idx="55" formatCode="0.00">
                  <c:v>42.245504730567376</c:v>
                </c:pt>
                <c:pt idx="56" formatCode="0.00">
                  <c:v>41.531446851434943</c:v>
                </c:pt>
                <c:pt idx="57" formatCode="0.00">
                  <c:v>41.805216511757557</c:v>
                </c:pt>
                <c:pt idx="58" formatCode="0.00">
                  <c:v>42.296585770051124</c:v>
                </c:pt>
                <c:pt idx="59" formatCode="0.00">
                  <c:v>42.564620699535254</c:v>
                </c:pt>
                <c:pt idx="60" formatCode="0.00">
                  <c:v>42.36264405262407</c:v>
                </c:pt>
                <c:pt idx="61" formatCode="0.00">
                  <c:v>42.3560476805077</c:v>
                </c:pt>
                <c:pt idx="62" formatCode="0.00">
                  <c:v>44.385026452917018</c:v>
                </c:pt>
                <c:pt idx="63" formatCode="0.00">
                  <c:v>47.122576477955604</c:v>
                </c:pt>
                <c:pt idx="64" formatCode="0.00">
                  <c:v>47.288226052019667</c:v>
                </c:pt>
                <c:pt idx="65" formatCode="0.00">
                  <c:v>47.085942780892623</c:v>
                </c:pt>
                <c:pt idx="66" formatCode="0.00">
                  <c:v>46.469048401699354</c:v>
                </c:pt>
                <c:pt idx="67" formatCode="0.00">
                  <c:v>46.763202645340243</c:v>
                </c:pt>
                <c:pt idx="68" formatCode="0.00">
                  <c:v>47.274308447163989</c:v>
                </c:pt>
                <c:pt idx="69" formatCode="0.00">
                  <c:v>47.56146346702549</c:v>
                </c:pt>
                <c:pt idx="70" formatCode="0.00">
                  <c:v>47.378019934126435</c:v>
                </c:pt>
                <c:pt idx="71" formatCode="0.00">
                  <c:v>47.389397244828956</c:v>
                </c:pt>
                <c:pt idx="72" formatCode="0.00">
                  <c:v>49.435816042527691</c:v>
                </c:pt>
                <c:pt idx="73" formatCode="0.00">
                  <c:v>52.190296581611229</c:v>
                </c:pt>
                <c:pt idx="74" formatCode="0.00">
                  <c:v>52.372389807390348</c:v>
                </c:pt>
                <c:pt idx="75" formatCode="0.00">
                  <c:v>52.186084594691977</c:v>
                </c:pt>
                <c:pt idx="76" formatCode="0.00">
                  <c:v>51.635654980685089</c:v>
                </c:pt>
                <c:pt idx="77" formatCode="0.00">
                  <c:v>51.943596117033927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D-4038-9803-50B673C31AF0}"/>
            </c:ext>
          </c:extLst>
        </c:ser>
        <c:ser>
          <c:idx val="3"/>
          <c:order val="3"/>
          <c:tx>
            <c:v>Upper confidence bound</c:v>
          </c:tx>
          <c:spPr>
            <a:ln w="12700" cap="rnd">
              <a:solidFill>
                <a:srgbClr val="A7DB6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Feuil14!$A$2:$A$79</c:f>
              <c:numCache>
                <c:formatCode>General</c:formatCode>
                <c:ptCount val="7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  <c:pt idx="16">
                  <c:v>2027</c:v>
                </c:pt>
                <c:pt idx="17">
                  <c:v>2028</c:v>
                </c:pt>
                <c:pt idx="18">
                  <c:v>2029</c:v>
                </c:pt>
                <c:pt idx="19">
                  <c:v>2030</c:v>
                </c:pt>
                <c:pt idx="20">
                  <c:v>2031</c:v>
                </c:pt>
                <c:pt idx="21">
                  <c:v>2032</c:v>
                </c:pt>
                <c:pt idx="22">
                  <c:v>2033</c:v>
                </c:pt>
                <c:pt idx="23">
                  <c:v>2034</c:v>
                </c:pt>
                <c:pt idx="24">
                  <c:v>2035</c:v>
                </c:pt>
                <c:pt idx="25">
                  <c:v>2036</c:v>
                </c:pt>
                <c:pt idx="26">
                  <c:v>2037</c:v>
                </c:pt>
                <c:pt idx="27">
                  <c:v>2038</c:v>
                </c:pt>
                <c:pt idx="28">
                  <c:v>2039</c:v>
                </c:pt>
                <c:pt idx="29">
                  <c:v>2040</c:v>
                </c:pt>
                <c:pt idx="30">
                  <c:v>2041</c:v>
                </c:pt>
                <c:pt idx="31">
                  <c:v>2042</c:v>
                </c:pt>
                <c:pt idx="32">
                  <c:v>2043</c:v>
                </c:pt>
                <c:pt idx="33">
                  <c:v>2044</c:v>
                </c:pt>
                <c:pt idx="34">
                  <c:v>2045</c:v>
                </c:pt>
                <c:pt idx="35">
                  <c:v>2046</c:v>
                </c:pt>
                <c:pt idx="36">
                  <c:v>2047</c:v>
                </c:pt>
                <c:pt idx="37">
                  <c:v>2048</c:v>
                </c:pt>
                <c:pt idx="38">
                  <c:v>2049</c:v>
                </c:pt>
                <c:pt idx="39">
                  <c:v>2050</c:v>
                </c:pt>
                <c:pt idx="40">
                  <c:v>2051</c:v>
                </c:pt>
                <c:pt idx="41">
                  <c:v>2052</c:v>
                </c:pt>
                <c:pt idx="42">
                  <c:v>2053</c:v>
                </c:pt>
                <c:pt idx="43">
                  <c:v>2054</c:v>
                </c:pt>
                <c:pt idx="44">
                  <c:v>2055</c:v>
                </c:pt>
                <c:pt idx="45">
                  <c:v>2056</c:v>
                </c:pt>
                <c:pt idx="46">
                  <c:v>2057</c:v>
                </c:pt>
                <c:pt idx="47">
                  <c:v>2058</c:v>
                </c:pt>
                <c:pt idx="48">
                  <c:v>2059</c:v>
                </c:pt>
                <c:pt idx="49">
                  <c:v>2060</c:v>
                </c:pt>
                <c:pt idx="50">
                  <c:v>2061</c:v>
                </c:pt>
                <c:pt idx="51">
                  <c:v>2062</c:v>
                </c:pt>
                <c:pt idx="52">
                  <c:v>2063</c:v>
                </c:pt>
                <c:pt idx="53">
                  <c:v>2064</c:v>
                </c:pt>
                <c:pt idx="54">
                  <c:v>2065</c:v>
                </c:pt>
                <c:pt idx="55">
                  <c:v>2066</c:v>
                </c:pt>
                <c:pt idx="56">
                  <c:v>2067</c:v>
                </c:pt>
                <c:pt idx="57">
                  <c:v>2068</c:v>
                </c:pt>
                <c:pt idx="58">
                  <c:v>2069</c:v>
                </c:pt>
                <c:pt idx="59">
                  <c:v>2070</c:v>
                </c:pt>
                <c:pt idx="60">
                  <c:v>2071</c:v>
                </c:pt>
                <c:pt idx="61">
                  <c:v>2072</c:v>
                </c:pt>
                <c:pt idx="62">
                  <c:v>2073</c:v>
                </c:pt>
                <c:pt idx="63">
                  <c:v>2074</c:v>
                </c:pt>
                <c:pt idx="64">
                  <c:v>2075</c:v>
                </c:pt>
                <c:pt idx="65">
                  <c:v>2076</c:v>
                </c:pt>
                <c:pt idx="66">
                  <c:v>2077</c:v>
                </c:pt>
                <c:pt idx="67">
                  <c:v>2078</c:v>
                </c:pt>
                <c:pt idx="68">
                  <c:v>2079</c:v>
                </c:pt>
                <c:pt idx="69">
                  <c:v>2080</c:v>
                </c:pt>
                <c:pt idx="70">
                  <c:v>2081</c:v>
                </c:pt>
                <c:pt idx="71">
                  <c:v>2082</c:v>
                </c:pt>
                <c:pt idx="72">
                  <c:v>2083</c:v>
                </c:pt>
                <c:pt idx="73">
                  <c:v>2084</c:v>
                </c:pt>
                <c:pt idx="74">
                  <c:v>2085</c:v>
                </c:pt>
                <c:pt idx="75">
                  <c:v>2086</c:v>
                </c:pt>
                <c:pt idx="76">
                  <c:v>2087</c:v>
                </c:pt>
                <c:pt idx="77">
                  <c:v>2088</c:v>
                </c:pt>
              </c:numCache>
            </c:numRef>
          </c:cat>
          <c:val>
            <c:numRef>
              <c:f>Feuil14!$E$2:$E$79</c:f>
              <c:numCache>
                <c:formatCode>General</c:formatCode>
                <c:ptCount val="78"/>
                <c:pt idx="25" formatCode="0.00">
                  <c:v>35.911470899470459</c:v>
                </c:pt>
                <c:pt idx="26" formatCode="0.00">
                  <c:v>41.063811864393827</c:v>
                </c:pt>
                <c:pt idx="27" formatCode="0.00">
                  <c:v>42.146792065893045</c:v>
                </c:pt>
                <c:pt idx="28" formatCode="0.00">
                  <c:v>43.390074198035194</c:v>
                </c:pt>
                <c:pt idx="29" formatCode="0.00">
                  <c:v>44.366317805801572</c:v>
                </c:pt>
                <c:pt idx="30" formatCode="0.00">
                  <c:v>44.837728654786766</c:v>
                </c:pt>
                <c:pt idx="31" formatCode="0.00">
                  <c:v>45.475885991723018</c:v>
                </c:pt>
                <c:pt idx="32" formatCode="0.00">
                  <c:v>48.125502314289264</c:v>
                </c:pt>
                <c:pt idx="33" formatCode="0.00">
                  <c:v>51.462994025495391</c:v>
                </c:pt>
                <c:pt idx="34" formatCode="0.00">
                  <c:v>52.21055464890712</c:v>
                </c:pt>
                <c:pt idx="35" formatCode="0.00">
                  <c:v>52.574277970372464</c:v>
                </c:pt>
                <c:pt idx="36" formatCode="0.00">
                  <c:v>53.997387061026714</c:v>
                </c:pt>
                <c:pt idx="37" formatCode="0.00">
                  <c:v>54.794767800308591</c:v>
                </c:pt>
                <c:pt idx="38" formatCode="0.00">
                  <c:v>55.800339041510327</c:v>
                </c:pt>
                <c:pt idx="39" formatCode="0.00">
                  <c:v>56.573846680962674</c:v>
                </c:pt>
                <c:pt idx="40" formatCode="0.00">
                  <c:v>56.869213646666225</c:v>
                </c:pt>
                <c:pt idx="41" formatCode="0.00">
                  <c:v>57.352365102360785</c:v>
                </c:pt>
                <c:pt idx="42" formatCode="0.00">
                  <c:v>59.863972599808903</c:v>
                </c:pt>
                <c:pt idx="43" formatCode="0.00">
                  <c:v>63.077460578477762</c:v>
                </c:pt>
                <c:pt idx="44" formatCode="0.00">
                  <c:v>63.712744082038583</c:v>
                </c:pt>
                <c:pt idx="45" formatCode="0.00">
                  <c:v>63.974141459608902</c:v>
                </c:pt>
                <c:pt idx="46" formatCode="0.00">
                  <c:v>65.052641026972452</c:v>
                </c:pt>
                <c:pt idx="47" formatCode="0.00">
                  <c:v>65.781459022208679</c:v>
                </c:pt>
                <c:pt idx="48" formatCode="0.00">
                  <c:v>66.722911828126854</c:v>
                </c:pt>
                <c:pt idx="49" formatCode="0.00">
                  <c:v>67.436288123570662</c:v>
                </c:pt>
                <c:pt idx="50" formatCode="0.00">
                  <c:v>67.675117825327419</c:v>
                </c:pt>
                <c:pt idx="51" formatCode="0.00">
                  <c:v>68.104985982531772</c:v>
                </c:pt>
                <c:pt idx="52" formatCode="0.00">
                  <c:v>70.566267992801443</c:v>
                </c:pt>
                <c:pt idx="53" formatCode="0.00">
                  <c:v>73.732128965951333</c:v>
                </c:pt>
                <c:pt idx="54" formatCode="0.00">
                  <c:v>74.322255686884986</c:v>
                </c:pt>
                <c:pt idx="55" formatCode="0.00">
                  <c:v>74.540764636782342</c:v>
                </c:pt>
                <c:pt idx="56" formatCode="0.00">
                  <c:v>75.45853417948743</c:v>
                </c:pt>
                <c:pt idx="57" formatCode="0.00">
                  <c:v>76.153778289187585</c:v>
                </c:pt>
                <c:pt idx="58" formatCode="0.00">
                  <c:v>77.063072876068958</c:v>
                </c:pt>
                <c:pt idx="59" formatCode="0.00">
                  <c:v>77.745613397676934</c:v>
                </c:pt>
                <c:pt idx="60" formatCode="0.00">
                  <c:v>77.954844952480983</c:v>
                </c:pt>
                <c:pt idx="61" formatCode="0.00">
                  <c:v>78.35627521890811</c:v>
                </c:pt>
                <c:pt idx="62" formatCode="0.00">
                  <c:v>80.790208846439626</c:v>
                </c:pt>
                <c:pt idx="63" formatCode="0.00">
                  <c:v>83.929746103986062</c:v>
                </c:pt>
                <c:pt idx="64" formatCode="0.00">
                  <c:v>84.49451422020789</c:v>
                </c:pt>
                <c:pt idx="65" formatCode="0.00">
                  <c:v>84.688574860931482</c:v>
                </c:pt>
                <c:pt idx="66" formatCode="0.00">
                  <c:v>85.509180903697398</c:v>
                </c:pt>
                <c:pt idx="67" formatCode="0.00">
                  <c:v>86.184040430079278</c:v>
                </c:pt>
                <c:pt idx="68" formatCode="0.00">
                  <c:v>87.073598473430465</c:v>
                </c:pt>
                <c:pt idx="69" formatCode="0.00">
                  <c:v>87.73701890466107</c:v>
                </c:pt>
                <c:pt idx="70" formatCode="0.00">
                  <c:v>87.927717345452976</c:v>
                </c:pt>
                <c:pt idx="71" formatCode="0.00">
                  <c:v>88.311173929061226</c:v>
                </c:pt>
                <c:pt idx="72" formatCode="0.00">
                  <c:v>90.727667531303311</c:v>
                </c:pt>
                <c:pt idx="73" formatCode="0.00">
                  <c:v>93.850274274804804</c:v>
                </c:pt>
                <c:pt idx="74" formatCode="0.00">
                  <c:v>94.398598739311566</c:v>
                </c:pt>
                <c:pt idx="75" formatCode="0.00">
                  <c:v>94.576681321606486</c:v>
                </c:pt>
                <c:pt idx="76" formatCode="0.00">
                  <c:v>95.330822599186021</c:v>
                </c:pt>
                <c:pt idx="77" formatCode="0.00">
                  <c:v>95.991895232859946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D-4038-9803-50B673C3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114223"/>
        <c:axId val="1208113263"/>
      </c:lineChart>
      <c:catAx>
        <c:axId val="1208114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000" b="0" i="0" u="none" strike="noStrike" baseline="0"/>
                  <a:t>Years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8113263"/>
        <c:crosses val="autoZero"/>
        <c:auto val="1"/>
        <c:lblAlgn val="ctr"/>
        <c:lblOffset val="100"/>
        <c:noMultiLvlLbl val="0"/>
      </c:catAx>
      <c:valAx>
        <c:axId val="12081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000" b="0" i="0" u="none" strike="noStrike" baseline="0"/>
                  <a:t>Electricity price [ct./kWh]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811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 sz="1400" b="0" i="0" u="none" strike="noStrike" baseline="0"/>
              <a:t>Price factor relative to 2025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Feuil14!$F$15</c:f>
              <c:strCache>
                <c:ptCount val="1"/>
                <c:pt idx="0">
                  <c:v>Low forecast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Feuil14!$A$16:$A$79</c:f>
              <c:numCache>
                <c:formatCode>General</c:formatCode>
                <c:ptCount val="6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</c:numCache>
            </c:numRef>
          </c:cat>
          <c:val>
            <c:numRef>
              <c:f>Feuil14!$F$16:$F$79</c:f>
              <c:numCache>
                <c:formatCode>General</c:formatCode>
                <c:ptCount val="64"/>
                <c:pt idx="0">
                  <c:v>1</c:v>
                </c:pt>
                <c:pt idx="1">
                  <c:v>0.95517241379310347</c:v>
                </c:pt>
                <c:pt idx="2">
                  <c:v>0.9700135011858978</c:v>
                </c:pt>
                <c:pt idx="3">
                  <c:v>0.9796872833424396</c:v>
                </c:pt>
                <c:pt idx="4">
                  <c:v>1.023843824119671</c:v>
                </c:pt>
                <c:pt idx="5">
                  <c:v>1.0721196861886364</c:v>
                </c:pt>
                <c:pt idx="6">
                  <c:v>1.1134989965334638</c:v>
                </c:pt>
                <c:pt idx="7">
                  <c:v>1.1514300310162229</c:v>
                </c:pt>
                <c:pt idx="8">
                  <c:v>1.1824645137748433</c:v>
                </c:pt>
                <c:pt idx="9">
                  <c:v>1.2100507206713951</c:v>
                </c:pt>
                <c:pt idx="10">
                  <c:v>1.2262576172231192</c:v>
                </c:pt>
                <c:pt idx="11">
                  <c:v>1.2383265827403607</c:v>
                </c:pt>
                <c:pt idx="12">
                  <c:v>1.0676353221760502</c:v>
                </c:pt>
                <c:pt idx="13">
                  <c:v>1.0637054452285868</c:v>
                </c:pt>
                <c:pt idx="14">
                  <c:v>1.0691324008504071</c:v>
                </c:pt>
                <c:pt idx="15">
                  <c:v>1.06824729199957</c:v>
                </c:pt>
                <c:pt idx="16">
                  <c:v>1.0522419147205238</c:v>
                </c:pt>
                <c:pt idx="17">
                  <c:v>1.0438514511817139</c:v>
                </c:pt>
                <c:pt idx="18">
                  <c:v>1.1063789021256651</c:v>
                </c:pt>
                <c:pt idx="19">
                  <c:v>1.1939511632076956</c:v>
                </c:pt>
                <c:pt idx="20">
                  <c:v>1.1933600275826666</c:v>
                </c:pt>
                <c:pt idx="21">
                  <c:v>1.1805343051044319</c:v>
                </c:pt>
                <c:pt idx="22">
                  <c:v>1.1384861179636869</c:v>
                </c:pt>
                <c:pt idx="23">
                  <c:v>1.1444044983340631</c:v>
                </c:pt>
                <c:pt idx="24">
                  <c:v>1.1580283812296905</c:v>
                </c:pt>
                <c:pt idx="25">
                  <c:v>1.164134167837958</c:v>
                </c:pt>
                <c:pt idx="26">
                  <c:v>1.1541992692927616</c:v>
                </c:pt>
                <c:pt idx="27">
                  <c:v>1.1511538361415963</c:v>
                </c:pt>
                <c:pt idx="28">
                  <c:v>1.2184402120896209</c:v>
                </c:pt>
                <c:pt idx="29">
                  <c:v>1.3102884639487986</c:v>
                </c:pt>
                <c:pt idx="30">
                  <c:v>1.3135689531462147</c:v>
                </c:pt>
                <c:pt idx="31">
                  <c:v>1.3042717114919464</c:v>
                </c:pt>
                <c:pt idx="32">
                  <c:v>1.274106611361226</c:v>
                </c:pt>
                <c:pt idx="33">
                  <c:v>1.2823892242849</c:v>
                </c:pt>
                <c:pt idx="34">
                  <c:v>1.298224087707547</c:v>
                </c:pt>
                <c:pt idx="35">
                  <c:v>1.3064033689367989</c:v>
                </c:pt>
                <c:pt idx="36">
                  <c:v>1.2984180312173541</c:v>
                </c:pt>
                <c:pt idx="37">
                  <c:v>1.2972099531865409</c:v>
                </c:pt>
                <c:pt idx="38">
                  <c:v>1.3662316907614085</c:v>
                </c:pt>
                <c:pt idx="39">
                  <c:v>1.4597222531557228</c:v>
                </c:pt>
                <c:pt idx="40">
                  <c:v>1.4645598727885585</c:v>
                </c:pt>
                <c:pt idx="41">
                  <c:v>1.4567415424333578</c:v>
                </c:pt>
                <c:pt idx="42">
                  <c:v>1.4321188569460326</c:v>
                </c:pt>
                <c:pt idx="43">
                  <c:v>1.4415591900606055</c:v>
                </c:pt>
                <c:pt idx="44">
                  <c:v>1.4585029575879698</c:v>
                </c:pt>
                <c:pt idx="45">
                  <c:v>1.4677455413632847</c:v>
                </c:pt>
                <c:pt idx="46">
                  <c:v>1.46078082940083</c:v>
                </c:pt>
                <c:pt idx="47">
                  <c:v>1.4605533682933689</c:v>
                </c:pt>
                <c:pt idx="48">
                  <c:v>1.5305181535488628</c:v>
                </c:pt>
                <c:pt idx="49">
                  <c:v>1.6249164302743311</c:v>
                </c:pt>
                <c:pt idx="50">
                  <c:v>1.6306284845524024</c:v>
                </c:pt>
                <c:pt idx="51">
                  <c:v>1.623653199341125</c:v>
                </c:pt>
                <c:pt idx="52">
                  <c:v>1.6023809793689432</c:v>
                </c:pt>
                <c:pt idx="53">
                  <c:v>1.6125242291496635</c:v>
                </c:pt>
                <c:pt idx="54">
                  <c:v>1.6301485671435858</c:v>
                </c:pt>
                <c:pt idx="55">
                  <c:v>1.6400504643801894</c:v>
                </c:pt>
                <c:pt idx="56">
                  <c:v>1.6337248253147048</c:v>
                </c:pt>
                <c:pt idx="57">
                  <c:v>1.6341171463734123</c:v>
                </c:pt>
                <c:pt idx="58">
                  <c:v>1.7046833118112996</c:v>
                </c:pt>
                <c:pt idx="59">
                  <c:v>1.7996653993659044</c:v>
                </c:pt>
                <c:pt idx="60">
                  <c:v>1.8059444761169086</c:v>
                </c:pt>
                <c:pt idx="61">
                  <c:v>1.7995201584376543</c:v>
                </c:pt>
                <c:pt idx="62">
                  <c:v>1.7805398269201755</c:v>
                </c:pt>
                <c:pt idx="63">
                  <c:v>1.7911584867942734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6AA-B77A-24BEA6E96B26}"/>
            </c:ext>
          </c:extLst>
        </c:ser>
        <c:ser>
          <c:idx val="1"/>
          <c:order val="1"/>
          <c:tx>
            <c:strRef>
              <c:f>Feuil14!$G$15</c:f>
              <c:strCache>
                <c:ptCount val="1"/>
                <c:pt idx="0">
                  <c:v>Moderately low forecast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Feuil14!$A$16:$A$79</c:f>
              <c:numCache>
                <c:formatCode>General</c:formatCode>
                <c:ptCount val="6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</c:numCache>
            </c:numRef>
          </c:cat>
          <c:val>
            <c:numRef>
              <c:f>Feuil14!$G$16:$G$79</c:f>
              <c:numCache>
                <c:formatCode>General</c:formatCode>
                <c:ptCount val="64"/>
                <c:pt idx="0">
                  <c:v>1</c:v>
                </c:pt>
                <c:pt idx="1">
                  <c:v>0.95517241379310347</c:v>
                </c:pt>
                <c:pt idx="2">
                  <c:v>0.9700135011858978</c:v>
                </c:pt>
                <c:pt idx="3">
                  <c:v>0.9796872833424396</c:v>
                </c:pt>
                <c:pt idx="4">
                  <c:v>1.023843824119671</c:v>
                </c:pt>
                <c:pt idx="5">
                  <c:v>1.0721196861886364</c:v>
                </c:pt>
                <c:pt idx="6">
                  <c:v>1.1134989965334638</c:v>
                </c:pt>
                <c:pt idx="7">
                  <c:v>1.1514300310162229</c:v>
                </c:pt>
                <c:pt idx="8">
                  <c:v>1.1824645137748433</c:v>
                </c:pt>
                <c:pt idx="9">
                  <c:v>1.2100507206713951</c:v>
                </c:pt>
                <c:pt idx="10">
                  <c:v>1.2262576172231192</c:v>
                </c:pt>
                <c:pt idx="11">
                  <c:v>1.2383265827403607</c:v>
                </c:pt>
                <c:pt idx="12">
                  <c:v>1.1547248697733636</c:v>
                </c:pt>
                <c:pt idx="13">
                  <c:v>1.161113498282587</c:v>
                </c:pt>
                <c:pt idx="14">
                  <c:v>1.1759016644139706</c:v>
                </c:pt>
                <c:pt idx="15">
                  <c:v>1.1836537259462427</c:v>
                </c:pt>
                <c:pt idx="16">
                  <c:v>1.1757135796161409</c:v>
                </c:pt>
                <c:pt idx="17">
                  <c:v>1.1749220883149321</c:v>
                </c:pt>
                <c:pt idx="18">
                  <c:v>1.2446591965450184</c:v>
                </c:pt>
                <c:pt idx="19">
                  <c:v>1.3391098726255595</c:v>
                </c:pt>
                <c:pt idx="20">
                  <c:v>1.3451110090396474</c:v>
                </c:pt>
                <c:pt idx="21">
                  <c:v>1.3386272630556726</c:v>
                </c:pt>
                <c:pt idx="22">
                  <c:v>1.319359304516099</c:v>
                </c:pt>
                <c:pt idx="23">
                  <c:v>1.330672061684242</c:v>
                </c:pt>
                <c:pt idx="24">
                  <c:v>1.3495586914525295</c:v>
                </c:pt>
                <c:pt idx="25">
                  <c:v>1.3608062007143538</c:v>
                </c:pt>
                <c:pt idx="26">
                  <c:v>1.3559012937511765</c:v>
                </c:pt>
                <c:pt idx="27">
                  <c:v>1.3577823176437902</c:v>
                </c:pt>
                <c:pt idx="28">
                  <c:v>1.4298988883759132</c:v>
                </c:pt>
                <c:pt idx="29">
                  <c:v>1.526487559845028</c:v>
                </c:pt>
                <c:pt idx="30">
                  <c:v>1.5344245086703385</c:v>
                </c:pt>
                <c:pt idx="31">
                  <c:v>1.5297050030983468</c:v>
                </c:pt>
                <c:pt idx="32">
                  <c:v>1.5163785880637854</c:v>
                </c:pt>
                <c:pt idx="33">
                  <c:v>1.5288734615085775</c:v>
                </c:pt>
                <c:pt idx="34">
                  <c:v>1.5488655815403745</c:v>
                </c:pt>
                <c:pt idx="35">
                  <c:v>1.5611498381126911</c:v>
                </c:pt>
                <c:pt idx="36">
                  <c:v>1.5572197115623898</c:v>
                </c:pt>
                <c:pt idx="37">
                  <c:v>1.5600194130151794</c:v>
                </c:pt>
                <c:pt idx="38">
                  <c:v>1.633003664560724</c:v>
                </c:pt>
                <c:pt idx="39">
                  <c:v>1.730413491297407</c:v>
                </c:pt>
                <c:pt idx="40">
                  <c:v>1.7391290053404274</c:v>
                </c:pt>
                <c:pt idx="41">
                  <c:v>1.7351489554179695</c:v>
                </c:pt>
                <c:pt idx="42">
                  <c:v>1.7245937477051054</c:v>
                </c:pt>
                <c:pt idx="43">
                  <c:v>1.7376674812453472</c:v>
                </c:pt>
                <c:pt idx="44">
                  <c:v>1.7582140533295028</c:v>
                </c:pt>
                <c:pt idx="45">
                  <c:v>1.7710299611748508</c:v>
                </c:pt>
                <c:pt idx="46">
                  <c:v>1.7676101475030448</c:v>
                </c:pt>
                <c:pt idx="47">
                  <c:v>1.7709001574175103</c:v>
                </c:pt>
                <c:pt idx="48">
                  <c:v>1.8443559328033681</c:v>
                </c:pt>
                <c:pt idx="49">
                  <c:v>1.9422196167056283</c:v>
                </c:pt>
                <c:pt idx="50">
                  <c:v>1.9513723480712664</c:v>
                </c:pt>
                <c:pt idx="51">
                  <c:v>1.9478138207207703</c:v>
                </c:pt>
                <c:pt idx="52">
                  <c:v>1.9389338457654781</c:v>
                </c:pt>
                <c:pt idx="53">
                  <c:v>1.9523590376387934</c:v>
                </c:pt>
                <c:pt idx="54">
                  <c:v>1.9732458949562277</c:v>
                </c:pt>
                <c:pt idx="55">
                  <c:v>1.9863914595322203</c:v>
                </c:pt>
                <c:pt idx="56">
                  <c:v>1.983291182308899</c:v>
                </c:pt>
                <c:pt idx="57">
                  <c:v>1.986891083306449</c:v>
                </c:pt>
                <c:pt idx="58">
                  <c:v>2.0606475487835034</c:v>
                </c:pt>
                <c:pt idx="59">
                  <c:v>2.1588031381003319</c:v>
                </c:pt>
                <c:pt idx="60">
                  <c:v>2.1682393807024365</c:v>
                </c:pt>
                <c:pt idx="61">
                  <c:v>2.1649563371179519</c:v>
                </c:pt>
                <c:pt idx="62">
                  <c:v>2.1572223063900111</c:v>
                </c:pt>
                <c:pt idx="63">
                  <c:v>2.1708852033100148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6AA-B77A-24BEA6E96B26}"/>
            </c:ext>
          </c:extLst>
        </c:ser>
        <c:ser>
          <c:idx val="2"/>
          <c:order val="2"/>
          <c:tx>
            <c:strRef>
              <c:f>Feuil14!$H$15</c:f>
              <c:strCache>
                <c:ptCount val="1"/>
                <c:pt idx="0">
                  <c:v>Reference forecast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Feuil14!$A$16:$A$79</c:f>
              <c:numCache>
                <c:formatCode>General</c:formatCode>
                <c:ptCount val="6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</c:numCache>
            </c:numRef>
          </c:cat>
          <c:val>
            <c:numRef>
              <c:f>Feuil14!$H$16:$H$79</c:f>
              <c:numCache>
                <c:formatCode>General</c:formatCode>
                <c:ptCount val="64"/>
                <c:pt idx="0">
                  <c:v>1</c:v>
                </c:pt>
                <c:pt idx="1">
                  <c:v>0.95517241379310347</c:v>
                </c:pt>
                <c:pt idx="2">
                  <c:v>0.9700135011858978</c:v>
                </c:pt>
                <c:pt idx="3">
                  <c:v>0.9796872833424396</c:v>
                </c:pt>
                <c:pt idx="4">
                  <c:v>1.023843824119671</c:v>
                </c:pt>
                <c:pt idx="5">
                  <c:v>1.0721196861886364</c:v>
                </c:pt>
                <c:pt idx="6">
                  <c:v>1.1134989965334638</c:v>
                </c:pt>
                <c:pt idx="7">
                  <c:v>1.1514300310162229</c:v>
                </c:pt>
                <c:pt idx="8">
                  <c:v>1.1824645137748433</c:v>
                </c:pt>
                <c:pt idx="9">
                  <c:v>1.2100507206713951</c:v>
                </c:pt>
                <c:pt idx="10">
                  <c:v>1.2262576172231192</c:v>
                </c:pt>
                <c:pt idx="11">
                  <c:v>1.2383265827403607</c:v>
                </c:pt>
                <c:pt idx="12">
                  <c:v>1.2418144173706771</c:v>
                </c:pt>
                <c:pt idx="13">
                  <c:v>1.2585215513365873</c:v>
                </c:pt>
                <c:pt idx="14">
                  <c:v>1.2826709279775343</c:v>
                </c:pt>
                <c:pt idx="15">
                  <c:v>1.2990601598929155</c:v>
                </c:pt>
                <c:pt idx="16">
                  <c:v>1.2991852445117578</c:v>
                </c:pt>
                <c:pt idx="17">
                  <c:v>1.3059927254481503</c:v>
                </c:pt>
                <c:pt idx="18">
                  <c:v>1.3829394909643715</c:v>
                </c:pt>
                <c:pt idx="19">
                  <c:v>1.4842685820434236</c:v>
                </c:pt>
                <c:pt idx="20">
                  <c:v>1.4968619904966285</c:v>
                </c:pt>
                <c:pt idx="21">
                  <c:v>1.4967202210069135</c:v>
                </c:pt>
                <c:pt idx="22">
                  <c:v>1.500232491068511</c:v>
                </c:pt>
                <c:pt idx="23">
                  <c:v>1.5169396250344209</c:v>
                </c:pt>
                <c:pt idx="24">
                  <c:v>1.5410890016753682</c:v>
                </c:pt>
                <c:pt idx="25">
                  <c:v>1.5574782335907493</c:v>
                </c:pt>
                <c:pt idx="26">
                  <c:v>1.5576033182095916</c:v>
                </c:pt>
                <c:pt idx="27">
                  <c:v>1.5644107991459841</c:v>
                </c:pt>
                <c:pt idx="28">
                  <c:v>1.6413575646622054</c:v>
                </c:pt>
                <c:pt idx="29">
                  <c:v>1.7426866557412573</c:v>
                </c:pt>
                <c:pt idx="30">
                  <c:v>1.7552800641944624</c:v>
                </c:pt>
                <c:pt idx="31">
                  <c:v>1.7551382947047474</c:v>
                </c:pt>
                <c:pt idx="32">
                  <c:v>1.7586505647663448</c:v>
                </c:pt>
                <c:pt idx="33">
                  <c:v>1.7753576987322548</c:v>
                </c:pt>
                <c:pt idx="34">
                  <c:v>1.7995070753732019</c:v>
                </c:pt>
                <c:pt idx="35">
                  <c:v>1.8158963072885832</c:v>
                </c:pt>
                <c:pt idx="36">
                  <c:v>1.8160213919074257</c:v>
                </c:pt>
                <c:pt idx="37">
                  <c:v>1.8228288728438182</c:v>
                </c:pt>
                <c:pt idx="38">
                  <c:v>1.8997756383600395</c:v>
                </c:pt>
                <c:pt idx="39">
                  <c:v>2.0011047294390911</c:v>
                </c:pt>
                <c:pt idx="40">
                  <c:v>2.0136981378922965</c:v>
                </c:pt>
                <c:pt idx="41">
                  <c:v>2.0135563684025812</c:v>
                </c:pt>
                <c:pt idx="42">
                  <c:v>2.0170686384641785</c:v>
                </c:pt>
                <c:pt idx="43">
                  <c:v>2.0337757724300887</c:v>
                </c:pt>
                <c:pt idx="44">
                  <c:v>2.057925149071036</c:v>
                </c:pt>
                <c:pt idx="45">
                  <c:v>2.0743143809864169</c:v>
                </c:pt>
                <c:pt idx="46">
                  <c:v>2.0744394656052596</c:v>
                </c:pt>
                <c:pt idx="47">
                  <c:v>2.0812469465416519</c:v>
                </c:pt>
                <c:pt idx="48">
                  <c:v>2.1581937120578734</c:v>
                </c:pt>
                <c:pt idx="49">
                  <c:v>2.2595228031369254</c:v>
                </c:pt>
                <c:pt idx="50">
                  <c:v>2.2721162115901303</c:v>
                </c:pt>
                <c:pt idx="51">
                  <c:v>2.2719744421004155</c:v>
                </c:pt>
                <c:pt idx="52">
                  <c:v>2.2754867121620128</c:v>
                </c:pt>
                <c:pt idx="53">
                  <c:v>2.292193846127923</c:v>
                </c:pt>
                <c:pt idx="54">
                  <c:v>2.3163432227688698</c:v>
                </c:pt>
                <c:pt idx="55">
                  <c:v>2.3327324546842512</c:v>
                </c:pt>
                <c:pt idx="56">
                  <c:v>2.332857539303093</c:v>
                </c:pt>
                <c:pt idx="57">
                  <c:v>2.3396650202394857</c:v>
                </c:pt>
                <c:pt idx="58">
                  <c:v>2.4166117857557068</c:v>
                </c:pt>
                <c:pt idx="59">
                  <c:v>2.5179408768347589</c:v>
                </c:pt>
                <c:pt idx="60">
                  <c:v>2.5305342852879642</c:v>
                </c:pt>
                <c:pt idx="61">
                  <c:v>2.5303925157982494</c:v>
                </c:pt>
                <c:pt idx="62">
                  <c:v>2.5339047858598467</c:v>
                </c:pt>
                <c:pt idx="63">
                  <c:v>2.5506119198257564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F4-46AA-B77A-24BEA6E96B26}"/>
            </c:ext>
          </c:extLst>
        </c:ser>
        <c:ser>
          <c:idx val="3"/>
          <c:order val="3"/>
          <c:tx>
            <c:strRef>
              <c:f>Feuil14!$I$15</c:f>
              <c:strCache>
                <c:ptCount val="1"/>
                <c:pt idx="0">
                  <c:v>Moderately high forecast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Feuil14!$A$16:$A$79</c:f>
              <c:numCache>
                <c:formatCode>General</c:formatCode>
                <c:ptCount val="6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</c:numCache>
            </c:numRef>
          </c:cat>
          <c:val>
            <c:numRef>
              <c:f>Feuil14!$I$16:$I$79</c:f>
              <c:numCache>
                <c:formatCode>General</c:formatCode>
                <c:ptCount val="64"/>
                <c:pt idx="0">
                  <c:v>1</c:v>
                </c:pt>
                <c:pt idx="1">
                  <c:v>0.95517241379310347</c:v>
                </c:pt>
                <c:pt idx="2">
                  <c:v>0.9700135011858978</c:v>
                </c:pt>
                <c:pt idx="3">
                  <c:v>0.9796872833424396</c:v>
                </c:pt>
                <c:pt idx="4">
                  <c:v>1.023843824119671</c:v>
                </c:pt>
                <c:pt idx="5">
                  <c:v>1.0721196861886364</c:v>
                </c:pt>
                <c:pt idx="6">
                  <c:v>1.1134989965334638</c:v>
                </c:pt>
                <c:pt idx="7">
                  <c:v>1.1514300310162229</c:v>
                </c:pt>
                <c:pt idx="8">
                  <c:v>1.1824645137748433</c:v>
                </c:pt>
                <c:pt idx="9">
                  <c:v>1.2100507206713951</c:v>
                </c:pt>
                <c:pt idx="10">
                  <c:v>1.2262576172231192</c:v>
                </c:pt>
                <c:pt idx="11">
                  <c:v>1.2383265827403607</c:v>
                </c:pt>
                <c:pt idx="12">
                  <c:v>1.3289039649679908</c:v>
                </c:pt>
                <c:pt idx="13">
                  <c:v>1.3559296043905875</c:v>
                </c:pt>
                <c:pt idx="14">
                  <c:v>1.3894401915410981</c:v>
                </c:pt>
                <c:pt idx="15">
                  <c:v>1.4144665938395882</c:v>
                </c:pt>
                <c:pt idx="16">
                  <c:v>1.4226569094073749</c:v>
                </c:pt>
                <c:pt idx="17">
                  <c:v>1.4370633625813687</c:v>
                </c:pt>
                <c:pt idx="18">
                  <c:v>1.5212197853837248</c:v>
                </c:pt>
                <c:pt idx="19">
                  <c:v>1.6294272914612875</c:v>
                </c:pt>
                <c:pt idx="20">
                  <c:v>1.6486129719536096</c:v>
                </c:pt>
                <c:pt idx="21">
                  <c:v>1.6548131789581544</c:v>
                </c:pt>
                <c:pt idx="22">
                  <c:v>1.681105677620923</c:v>
                </c:pt>
                <c:pt idx="23">
                  <c:v>1.7032071883845998</c:v>
                </c:pt>
                <c:pt idx="24">
                  <c:v>1.7326193118982069</c:v>
                </c:pt>
                <c:pt idx="25">
                  <c:v>1.7541502664671449</c:v>
                </c:pt>
                <c:pt idx="26">
                  <c:v>1.7593053426680068</c:v>
                </c:pt>
                <c:pt idx="27">
                  <c:v>1.7710392806481781</c:v>
                </c:pt>
                <c:pt idx="28">
                  <c:v>1.8528162409484974</c:v>
                </c:pt>
                <c:pt idx="29">
                  <c:v>1.9588857516374867</c:v>
                </c:pt>
                <c:pt idx="30">
                  <c:v>1.976135619718586</c:v>
                </c:pt>
                <c:pt idx="31">
                  <c:v>1.9805715863111479</c:v>
                </c:pt>
                <c:pt idx="32">
                  <c:v>2.0009225414689045</c:v>
                </c:pt>
                <c:pt idx="33">
                  <c:v>2.0218419359559325</c:v>
                </c:pt>
                <c:pt idx="34">
                  <c:v>2.0501485692060295</c:v>
                </c:pt>
                <c:pt idx="35">
                  <c:v>2.0706427764644753</c:v>
                </c:pt>
                <c:pt idx="36">
                  <c:v>2.0748230722524612</c:v>
                </c:pt>
                <c:pt idx="37">
                  <c:v>2.085638332672457</c:v>
                </c:pt>
                <c:pt idx="38">
                  <c:v>2.1665476121593548</c:v>
                </c:pt>
                <c:pt idx="39">
                  <c:v>2.2717959675807755</c:v>
                </c:pt>
                <c:pt idx="40">
                  <c:v>2.2882672704441651</c:v>
                </c:pt>
                <c:pt idx="41">
                  <c:v>2.2919637813871931</c:v>
                </c:pt>
                <c:pt idx="42">
                  <c:v>2.3095435292232516</c:v>
                </c:pt>
                <c:pt idx="43">
                  <c:v>2.3298840636148306</c:v>
                </c:pt>
                <c:pt idx="44">
                  <c:v>2.3576362448125687</c:v>
                </c:pt>
                <c:pt idx="45">
                  <c:v>2.3775988007979834</c:v>
                </c:pt>
                <c:pt idx="46">
                  <c:v>2.3812687837074744</c:v>
                </c:pt>
                <c:pt idx="47">
                  <c:v>2.3915937356657935</c:v>
                </c:pt>
                <c:pt idx="48">
                  <c:v>2.4720314913123786</c:v>
                </c:pt>
                <c:pt idx="49">
                  <c:v>2.5768259895682224</c:v>
                </c:pt>
                <c:pt idx="50">
                  <c:v>2.5928600751089945</c:v>
                </c:pt>
                <c:pt idx="51">
                  <c:v>2.5961350634800606</c:v>
                </c:pt>
                <c:pt idx="52">
                  <c:v>2.612039578558548</c:v>
                </c:pt>
                <c:pt idx="53">
                  <c:v>2.6320286546170526</c:v>
                </c:pt>
                <c:pt idx="54">
                  <c:v>2.659440550581512</c:v>
                </c:pt>
                <c:pt idx="55">
                  <c:v>2.6790734498362818</c:v>
                </c:pt>
                <c:pt idx="56">
                  <c:v>2.6824238962972875</c:v>
                </c:pt>
                <c:pt idx="57">
                  <c:v>2.6924389571725227</c:v>
                </c:pt>
                <c:pt idx="58">
                  <c:v>2.7725760227279101</c:v>
                </c:pt>
                <c:pt idx="59">
                  <c:v>2.8770786155691863</c:v>
                </c:pt>
                <c:pt idx="60">
                  <c:v>2.8928291898734919</c:v>
                </c:pt>
                <c:pt idx="61">
                  <c:v>2.895828694478547</c:v>
                </c:pt>
                <c:pt idx="62">
                  <c:v>2.9105872653296823</c:v>
                </c:pt>
                <c:pt idx="63">
                  <c:v>2.930338636341498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F4-46AA-B77A-24BEA6E96B26}"/>
            </c:ext>
          </c:extLst>
        </c:ser>
        <c:ser>
          <c:idx val="4"/>
          <c:order val="4"/>
          <c:tx>
            <c:strRef>
              <c:f>Feuil14!$J$15</c:f>
              <c:strCache>
                <c:ptCount val="1"/>
                <c:pt idx="0">
                  <c:v>High forecast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Feuil14!$A$16:$A$79</c:f>
              <c:numCache>
                <c:formatCode>General</c:formatCode>
                <c:ptCount val="64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</c:numCache>
            </c:numRef>
          </c:cat>
          <c:val>
            <c:numRef>
              <c:f>Feuil14!$J$16:$J$79</c:f>
              <c:numCache>
                <c:formatCode>General</c:formatCode>
                <c:ptCount val="64"/>
                <c:pt idx="0">
                  <c:v>1</c:v>
                </c:pt>
                <c:pt idx="1">
                  <c:v>0.95517241379310347</c:v>
                </c:pt>
                <c:pt idx="2">
                  <c:v>0.9700135011858978</c:v>
                </c:pt>
                <c:pt idx="3">
                  <c:v>0.9796872833424396</c:v>
                </c:pt>
                <c:pt idx="4">
                  <c:v>1.023843824119671</c:v>
                </c:pt>
                <c:pt idx="5">
                  <c:v>1.0721196861886364</c:v>
                </c:pt>
                <c:pt idx="6">
                  <c:v>1.1134989965334638</c:v>
                </c:pt>
                <c:pt idx="7">
                  <c:v>1.1514300310162229</c:v>
                </c:pt>
                <c:pt idx="8">
                  <c:v>1.1824645137748433</c:v>
                </c:pt>
                <c:pt idx="9">
                  <c:v>1.2100507206713951</c:v>
                </c:pt>
                <c:pt idx="10">
                  <c:v>1.2262576172231192</c:v>
                </c:pt>
                <c:pt idx="11">
                  <c:v>1.2383265827403607</c:v>
                </c:pt>
                <c:pt idx="12">
                  <c:v>1.4159935125653045</c:v>
                </c:pt>
                <c:pt idx="13">
                  <c:v>1.4533376574445878</c:v>
                </c:pt>
                <c:pt idx="14">
                  <c:v>1.4962094551046619</c:v>
                </c:pt>
                <c:pt idx="15">
                  <c:v>1.5298730277862611</c:v>
                </c:pt>
                <c:pt idx="16">
                  <c:v>1.546128574302992</c:v>
                </c:pt>
                <c:pt idx="17">
                  <c:v>1.5681339997145869</c:v>
                </c:pt>
                <c:pt idx="18">
                  <c:v>1.6595000798030781</c:v>
                </c:pt>
                <c:pt idx="19">
                  <c:v>1.7745860008791514</c:v>
                </c:pt>
                <c:pt idx="20">
                  <c:v>1.8003639534105904</c:v>
                </c:pt>
                <c:pt idx="21">
                  <c:v>1.8129061369093953</c:v>
                </c:pt>
                <c:pt idx="22">
                  <c:v>1.861978864173335</c:v>
                </c:pt>
                <c:pt idx="23">
                  <c:v>1.889474751734779</c:v>
                </c:pt>
                <c:pt idx="24">
                  <c:v>1.9241496221210457</c:v>
                </c:pt>
                <c:pt idx="25">
                  <c:v>1.9508222993435405</c:v>
                </c:pt>
                <c:pt idx="26">
                  <c:v>1.9610073671264217</c:v>
                </c:pt>
                <c:pt idx="27">
                  <c:v>1.977667762150372</c:v>
                </c:pt>
                <c:pt idx="28">
                  <c:v>2.0642749172347896</c:v>
                </c:pt>
                <c:pt idx="29">
                  <c:v>2.1750848475337161</c:v>
                </c:pt>
                <c:pt idx="30">
                  <c:v>2.1969911752427098</c:v>
                </c:pt>
                <c:pt idx="31">
                  <c:v>2.2060048779175485</c:v>
                </c:pt>
                <c:pt idx="32">
                  <c:v>2.2431945181714639</c:v>
                </c:pt>
                <c:pt idx="33">
                  <c:v>2.2683261731796098</c:v>
                </c:pt>
                <c:pt idx="34">
                  <c:v>2.3007900630388569</c:v>
                </c:pt>
                <c:pt idx="35">
                  <c:v>2.3253892456403675</c:v>
                </c:pt>
                <c:pt idx="36">
                  <c:v>2.3336247525974971</c:v>
                </c:pt>
                <c:pt idx="37">
                  <c:v>2.3484477925010956</c:v>
                </c:pt>
                <c:pt idx="38">
                  <c:v>2.4333195859586705</c:v>
                </c:pt>
                <c:pt idx="39">
                  <c:v>2.5424872057224599</c:v>
                </c:pt>
                <c:pt idx="40">
                  <c:v>2.5628364029960342</c:v>
                </c:pt>
                <c:pt idx="41">
                  <c:v>2.5703711943718051</c:v>
                </c:pt>
                <c:pt idx="42">
                  <c:v>2.6020184199823251</c:v>
                </c:pt>
                <c:pt idx="43">
                  <c:v>2.625992354799572</c:v>
                </c:pt>
                <c:pt idx="44">
                  <c:v>2.6573473405541019</c:v>
                </c:pt>
                <c:pt idx="45">
                  <c:v>2.6808832206095494</c:v>
                </c:pt>
                <c:pt idx="46">
                  <c:v>2.6880981018096892</c:v>
                </c:pt>
                <c:pt idx="47">
                  <c:v>2.7019405247899346</c:v>
                </c:pt>
                <c:pt idx="48">
                  <c:v>2.7858692705668835</c:v>
                </c:pt>
                <c:pt idx="49">
                  <c:v>2.8941291759995194</c:v>
                </c:pt>
                <c:pt idx="50">
                  <c:v>2.9136039386278583</c:v>
                </c:pt>
                <c:pt idx="51">
                  <c:v>2.9202956848597061</c:v>
                </c:pt>
                <c:pt idx="52">
                  <c:v>2.9485924449550827</c:v>
                </c:pt>
                <c:pt idx="53">
                  <c:v>2.9718634631061822</c:v>
                </c:pt>
                <c:pt idx="54">
                  <c:v>3.0025378783941541</c:v>
                </c:pt>
                <c:pt idx="55">
                  <c:v>3.0254144449883129</c:v>
                </c:pt>
                <c:pt idx="56">
                  <c:v>3.031990253291482</c:v>
                </c:pt>
                <c:pt idx="57">
                  <c:v>3.0452128941055596</c:v>
                </c:pt>
                <c:pt idx="58">
                  <c:v>3.128540259700114</c:v>
                </c:pt>
                <c:pt idx="59">
                  <c:v>3.2362163543036138</c:v>
                </c:pt>
                <c:pt idx="60">
                  <c:v>3.2551240944590196</c:v>
                </c:pt>
                <c:pt idx="61">
                  <c:v>3.2612648731588445</c:v>
                </c:pt>
                <c:pt idx="62">
                  <c:v>3.2872697447995178</c:v>
                </c:pt>
                <c:pt idx="63">
                  <c:v>3.3100653528572397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F4-46AA-B77A-24BEA6E9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451696"/>
        <c:axId val="509449776"/>
      </c:lineChart>
      <c:catAx>
        <c:axId val="50945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000" b="0" i="0" u="none" strike="noStrike" baseline="0"/>
                  <a:t>Years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449776"/>
        <c:crosses val="autoZero"/>
        <c:auto val="1"/>
        <c:lblAlgn val="ctr"/>
        <c:lblOffset val="100"/>
        <c:noMultiLvlLbl val="0"/>
      </c:catAx>
      <c:valAx>
        <c:axId val="50944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000" b="0" i="0" u="none" strike="noStrike" baseline="0"/>
                  <a:t>Price factor (relative to 2025)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945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Import 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Average + Prediction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7.323394134508493E-2"/>
                  <c:y val="9.62167347852911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'Average GRD'!$B$16:$B$34</c:f>
              <c:numCache>
                <c:formatCode>General</c:formatCode>
                <c:ptCount val="19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</c:numCache>
            </c:numRef>
          </c:xVal>
          <c:yVal>
            <c:numRef>
              <c:f>'Average GRD'!$E$16:$E$34</c:f>
              <c:numCache>
                <c:formatCode>0.0</c:formatCode>
                <c:ptCount val="19"/>
                <c:pt idx="0">
                  <c:v>14.440000000000001</c:v>
                </c:pt>
                <c:pt idx="1">
                  <c:v>12.391111111111115</c:v>
                </c:pt>
                <c:pt idx="2">
                  <c:v>12.639999999999999</c:v>
                </c:pt>
                <c:pt idx="3">
                  <c:v>14.516666666666667</c:v>
                </c:pt>
                <c:pt idx="4">
                  <c:v>19.392222222222216</c:v>
                </c:pt>
                <c:pt idx="5">
                  <c:v>18.827777777777779</c:v>
                </c:pt>
                <c:pt idx="6" formatCode="0.00">
                  <c:v>19.849851851851327</c:v>
                </c:pt>
                <c:pt idx="7" formatCode="0.00">
                  <c:v>21.130391534391038</c:v>
                </c:pt>
                <c:pt idx="8" formatCode="0.00">
                  <c:v>22.410931216930749</c:v>
                </c:pt>
                <c:pt idx="9" formatCode="0.00">
                  <c:v>23.69147089947046</c:v>
                </c:pt>
                <c:pt idx="10" formatCode="0.00">
                  <c:v>25.091470899470458</c:v>
                </c:pt>
                <c:pt idx="11" formatCode="0.00">
                  <c:v>26.291470899470458</c:v>
                </c:pt>
                <c:pt idx="12" formatCode="0.00">
                  <c:v>27.391470899470459</c:v>
                </c:pt>
                <c:pt idx="13" formatCode="0.00">
                  <c:v>28.291470899470458</c:v>
                </c:pt>
                <c:pt idx="14" formatCode="0.00">
                  <c:v>29.091470899470458</c:v>
                </c:pt>
                <c:pt idx="15" formatCode="0.00">
                  <c:v>29.561470899470457</c:v>
                </c:pt>
                <c:pt idx="16" formatCode="0.00">
                  <c:v>29.911470899470459</c:v>
                </c:pt>
                <c:pt idx="17" formatCode="0.00">
                  <c:v>30.098613756613315</c:v>
                </c:pt>
                <c:pt idx="18" formatCode="0.00">
                  <c:v>30.110399470899033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87-46D1-BB4B-7E42EF90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95776"/>
        <c:axId val="877001056"/>
      </c:scatterChart>
      <c:scatterChart>
        <c:scatterStyle val="smoothMarker"/>
        <c:varyColors val="0"/>
        <c:ser>
          <c:idx val="1"/>
          <c:order val="1"/>
          <c:tx>
            <c:v>STDev +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GRD'!$B$62:$B$67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GRD'!$N$62:$N$67</c:f>
              <c:numCache>
                <c:formatCode>0.00</c:formatCode>
                <c:ptCount val="6"/>
                <c:pt idx="0">
                  <c:v>15.941805163794559</c:v>
                </c:pt>
                <c:pt idx="1">
                  <c:v>13.162086323279297</c:v>
                </c:pt>
                <c:pt idx="2">
                  <c:v>13.392502491690227</c:v>
                </c:pt>
                <c:pt idx="3">
                  <c:v>15.587294403090493</c:v>
                </c:pt>
                <c:pt idx="4">
                  <c:v>21.326737306451637</c:v>
                </c:pt>
                <c:pt idx="5">
                  <c:v>20.019868320107143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87-46D1-BB4B-7E42EF901502}"/>
            </c:ext>
          </c:extLst>
        </c:ser>
        <c:ser>
          <c:idx val="2"/>
          <c:order val="2"/>
          <c:tx>
            <c:v>STDev -</c:v>
          </c:tx>
          <c:spPr>
            <a:ln w="19050" cap="rnd">
              <a:solidFill>
                <a:schemeClr val="bg2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GRD'!$B$62:$B$67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GRD'!$O$62:$O$67</c:f>
              <c:numCache>
                <c:formatCode>0.00</c:formatCode>
                <c:ptCount val="6"/>
                <c:pt idx="0">
                  <c:v>12.938194836205444</c:v>
                </c:pt>
                <c:pt idx="1">
                  <c:v>11.620135898942923</c:v>
                </c:pt>
                <c:pt idx="2">
                  <c:v>11.887497508309774</c:v>
                </c:pt>
                <c:pt idx="3">
                  <c:v>13.446038930242842</c:v>
                </c:pt>
                <c:pt idx="4">
                  <c:v>17.457707137992802</c:v>
                </c:pt>
                <c:pt idx="5">
                  <c:v>17.635687235448408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87-46D1-BB4B-7E42EF901502}"/>
            </c:ext>
          </c:extLst>
        </c:ser>
        <c:ser>
          <c:idx val="3"/>
          <c:order val="3"/>
          <c:tx>
            <c:strRef>
              <c:f>'Average GRD'!$K$20</c:f>
              <c:strCache>
                <c:ptCount val="1"/>
                <c:pt idx="0">
                  <c:v>Scenario +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GRD'!$B$21:$B$32</c:f>
              <c:numCache>
                <c:formatCode>General</c:formatCode>
                <c:ptCount val="1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numCache>
            </c:numRef>
          </c:xVal>
          <c:yVal>
            <c:numRef>
              <c:f>'Average GRD'!$K$21:$K$32</c:f>
              <c:numCache>
                <c:formatCode>0.0</c:formatCode>
                <c:ptCount val="12"/>
                <c:pt idx="0">
                  <c:v>20.019868320107143</c:v>
                </c:pt>
                <c:pt idx="1">
                  <c:v>20.849851851851327</c:v>
                </c:pt>
                <c:pt idx="2">
                  <c:v>22.330391534391037</c:v>
                </c:pt>
                <c:pt idx="3">
                  <c:v>24.210931216930749</c:v>
                </c:pt>
                <c:pt idx="4">
                  <c:v>26.091470899470458</c:v>
                </c:pt>
                <c:pt idx="5">
                  <c:v>28.091470899470458</c:v>
                </c:pt>
                <c:pt idx="6">
                  <c:v>29.891470899470459</c:v>
                </c:pt>
                <c:pt idx="7">
                  <c:v>31.591470899470458</c:v>
                </c:pt>
                <c:pt idx="8">
                  <c:v>33.091470899470458</c:v>
                </c:pt>
                <c:pt idx="9">
                  <c:v>34.491470899470457</c:v>
                </c:pt>
                <c:pt idx="10">
                  <c:v>35.561470899470457</c:v>
                </c:pt>
                <c:pt idx="11">
                  <c:v>36.411470899470459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787-46D1-BB4B-7E42EF901502}"/>
            </c:ext>
          </c:extLst>
        </c:ser>
        <c:ser>
          <c:idx val="4"/>
          <c:order val="4"/>
          <c:tx>
            <c:strRef>
              <c:f>'Average GRD'!$L$20</c:f>
              <c:strCache>
                <c:ptCount val="1"/>
                <c:pt idx="0">
                  <c:v>Scenario -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GRD'!$B$21:$B$32</c:f>
              <c:numCache>
                <c:formatCode>General</c:formatCode>
                <c:ptCount val="1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numCache>
            </c:numRef>
          </c:xVal>
          <c:yVal>
            <c:numRef>
              <c:f>'Average GRD'!$L$21:$L$32</c:f>
              <c:numCache>
                <c:formatCode>0.0</c:formatCode>
                <c:ptCount val="12"/>
                <c:pt idx="0">
                  <c:v>17.635687235448408</c:v>
                </c:pt>
                <c:pt idx="1">
                  <c:v>18.849851851851327</c:v>
                </c:pt>
                <c:pt idx="2">
                  <c:v>19.930391534391038</c:v>
                </c:pt>
                <c:pt idx="3">
                  <c:v>20.610931216930748</c:v>
                </c:pt>
                <c:pt idx="4">
                  <c:v>21.291470899470461</c:v>
                </c:pt>
                <c:pt idx="5">
                  <c:v>22.091470899470458</c:v>
                </c:pt>
                <c:pt idx="6">
                  <c:v>22.691470899470456</c:v>
                </c:pt>
                <c:pt idx="7">
                  <c:v>23.19147089947046</c:v>
                </c:pt>
                <c:pt idx="8">
                  <c:v>23.491470899470457</c:v>
                </c:pt>
                <c:pt idx="9">
                  <c:v>23.69147089947046</c:v>
                </c:pt>
                <c:pt idx="10">
                  <c:v>23.561470899470457</c:v>
                </c:pt>
                <c:pt idx="11">
                  <c:v>23.411470899470459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787-46D1-BB4B-7E42EF90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95776"/>
        <c:axId val="877001056"/>
      </c:scatterChart>
      <c:valAx>
        <c:axId val="87699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7001056"/>
        <c:crosses val="autoZero"/>
        <c:crossBetween val="midCat"/>
      </c:valAx>
      <c:valAx>
        <c:axId val="8770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699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Import 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GRD'!$D$42</c:f>
              <c:strCache>
                <c:ptCount val="1"/>
                <c:pt idx="0">
                  <c:v>OIKEN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GRD'!$D$43:$D$48</c:f>
              <c:numCache>
                <c:formatCode>0.00</c:formatCode>
                <c:ptCount val="6"/>
                <c:pt idx="0">
                  <c:v>18.190000000000001</c:v>
                </c:pt>
                <c:pt idx="1">
                  <c:v>17.95</c:v>
                </c:pt>
                <c:pt idx="2">
                  <c:v>19.89</c:v>
                </c:pt>
                <c:pt idx="3">
                  <c:v>30.8</c:v>
                </c:pt>
                <c:pt idx="4">
                  <c:v>34.61</c:v>
                </c:pt>
                <c:pt idx="5">
                  <c:v>28.53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5-47F9-9FEF-1AA30341B170}"/>
            </c:ext>
          </c:extLst>
        </c:ser>
        <c:ser>
          <c:idx val="1"/>
          <c:order val="1"/>
          <c:tx>
            <c:strRef>
              <c:f>'Average GRD'!$E$42</c:f>
              <c:strCache>
                <c:ptCount val="1"/>
                <c:pt idx="0">
                  <c:v>Romande Energie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GRD'!$E$43:$E$48</c:f>
              <c:numCache>
                <c:formatCode>0.00</c:formatCode>
                <c:ptCount val="6"/>
                <c:pt idx="0">
                  <c:v>20.88</c:v>
                </c:pt>
                <c:pt idx="1">
                  <c:v>21.03</c:v>
                </c:pt>
                <c:pt idx="2">
                  <c:v>21.21</c:v>
                </c:pt>
                <c:pt idx="3">
                  <c:v>32.26</c:v>
                </c:pt>
                <c:pt idx="4">
                  <c:v>32.549999999999997</c:v>
                </c:pt>
                <c:pt idx="5">
                  <c:v>30.36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5-47F9-9FEF-1AA30341B170}"/>
            </c:ext>
          </c:extLst>
        </c:ser>
        <c:ser>
          <c:idx val="2"/>
          <c:order val="2"/>
          <c:tx>
            <c:strRef>
              <c:f>'Average GRD'!$F$42</c:f>
              <c:strCache>
                <c:ptCount val="1"/>
                <c:pt idx="0">
                  <c:v>Genedis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GRD'!$F$43:$F$48</c:f>
              <c:numCache>
                <c:formatCode>0.00</c:formatCode>
                <c:ptCount val="6"/>
                <c:pt idx="0">
                  <c:v>20.48</c:v>
                </c:pt>
                <c:pt idx="1">
                  <c:v>20.18</c:v>
                </c:pt>
                <c:pt idx="2">
                  <c:v>20.85</c:v>
                </c:pt>
                <c:pt idx="3">
                  <c:v>27.45</c:v>
                </c:pt>
                <c:pt idx="4">
                  <c:v>28.44</c:v>
                </c:pt>
                <c:pt idx="5">
                  <c:v>26.64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95-47F9-9FEF-1AA30341B170}"/>
            </c:ext>
          </c:extLst>
        </c:ser>
        <c:ser>
          <c:idx val="3"/>
          <c:order val="3"/>
          <c:tx>
            <c:strRef>
              <c:f>'Average GRD'!$G$42</c:f>
              <c:strCache>
                <c:ptCount val="1"/>
                <c:pt idx="0">
                  <c:v>Groupe E FR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GRD'!$G$43:$G$48</c:f>
              <c:numCache>
                <c:formatCode>0.00</c:formatCode>
                <c:ptCount val="6"/>
                <c:pt idx="0">
                  <c:v>21.16</c:v>
                </c:pt>
                <c:pt idx="1">
                  <c:v>21.16</c:v>
                </c:pt>
                <c:pt idx="2">
                  <c:v>21.16</c:v>
                </c:pt>
                <c:pt idx="3">
                  <c:v>25.35</c:v>
                </c:pt>
                <c:pt idx="4">
                  <c:v>32.4</c:v>
                </c:pt>
                <c:pt idx="5">
                  <c:v>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95-47F9-9FEF-1AA30341B170}"/>
            </c:ext>
          </c:extLst>
        </c:ser>
        <c:ser>
          <c:idx val="4"/>
          <c:order val="4"/>
          <c:tx>
            <c:strRef>
              <c:f>'Average GRD'!$H$42</c:f>
              <c:strCache>
                <c:ptCount val="1"/>
                <c:pt idx="0">
                  <c:v>Groupe E 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GRD'!$H$43:$H$48</c:f>
              <c:numCache>
                <c:formatCode>0.00</c:formatCode>
                <c:ptCount val="6"/>
                <c:pt idx="0">
                  <c:v>22.76</c:v>
                </c:pt>
                <c:pt idx="1">
                  <c:v>22.76</c:v>
                </c:pt>
                <c:pt idx="2">
                  <c:v>22.76</c:v>
                </c:pt>
                <c:pt idx="3">
                  <c:v>26.95</c:v>
                </c:pt>
                <c:pt idx="4">
                  <c:v>34</c:v>
                </c:pt>
                <c:pt idx="5">
                  <c:v>30.5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995-47F9-9FEF-1AA30341B170}"/>
            </c:ext>
          </c:extLst>
        </c:ser>
        <c:ser>
          <c:idx val="5"/>
          <c:order val="5"/>
          <c:tx>
            <c:strRef>
              <c:f>'Average GRD'!$I$42</c:f>
              <c:strCache>
                <c:ptCount val="1"/>
                <c:pt idx="0">
                  <c:v>La Goule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GRD'!$I$43:$I$48</c:f>
              <c:numCache>
                <c:formatCode>0.00</c:formatCode>
                <c:ptCount val="6"/>
                <c:pt idx="0">
                  <c:v>25.77</c:v>
                </c:pt>
                <c:pt idx="1">
                  <c:v>25.53</c:v>
                </c:pt>
                <c:pt idx="3">
                  <c:v>25.93</c:v>
                </c:pt>
                <c:pt idx="4">
                  <c:v>31.45</c:v>
                </c:pt>
                <c:pt idx="5">
                  <c:v>30.98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95-47F9-9FEF-1AA30341B170}"/>
            </c:ext>
          </c:extLst>
        </c:ser>
        <c:ser>
          <c:idx val="6"/>
          <c:order val="6"/>
          <c:tx>
            <c:strRef>
              <c:f>'Average GRD'!$C$42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GRD'!$C$43:$C$48</c:f>
              <c:numCache>
                <c:formatCode>0.00</c:formatCode>
                <c:ptCount val="6"/>
                <c:pt idx="0">
                  <c:v>22.942222222222224</c:v>
                </c:pt>
                <c:pt idx="1">
                  <c:v>22.87444444444445</c:v>
                </c:pt>
                <c:pt idx="2">
                  <c:v>21.765000000000001</c:v>
                </c:pt>
                <c:pt idx="3">
                  <c:v>27.664444444444445</c:v>
                </c:pt>
                <c:pt idx="4">
                  <c:v>32.099999999999994</c:v>
                </c:pt>
                <c:pt idx="5">
                  <c:v>29.727777777777778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95-47F9-9FEF-1AA30341B170}"/>
            </c:ext>
          </c:extLst>
        </c:ser>
        <c:ser>
          <c:idx val="7"/>
          <c:order val="7"/>
          <c:tx>
            <c:strRef>
              <c:f>'Average GRD'!$J$42</c:f>
              <c:strCache>
                <c:ptCount val="1"/>
                <c:pt idx="0">
                  <c:v>BKW BE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GRD'!$K$43:$K$48</c:f>
              <c:numCache>
                <c:formatCode>0.00</c:formatCode>
                <c:ptCount val="6"/>
                <c:pt idx="0">
                  <c:v>26.24</c:v>
                </c:pt>
                <c:pt idx="1">
                  <c:v>26.24</c:v>
                </c:pt>
                <c:pt idx="3">
                  <c:v>25.5</c:v>
                </c:pt>
                <c:pt idx="4">
                  <c:v>30.27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995-47F9-9FEF-1AA30341B170}"/>
            </c:ext>
          </c:extLst>
        </c:ser>
        <c:ser>
          <c:idx val="8"/>
          <c:order val="8"/>
          <c:tx>
            <c:strRef>
              <c:f>'Average GRD'!$K$42</c:f>
              <c:strCache>
                <c:ptCount val="1"/>
                <c:pt idx="0">
                  <c:v>BKW JU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GRD'!$K$43:$K$48</c:f>
              <c:numCache>
                <c:formatCode>0.00</c:formatCode>
                <c:ptCount val="6"/>
                <c:pt idx="0">
                  <c:v>26.24</c:v>
                </c:pt>
                <c:pt idx="1">
                  <c:v>26.24</c:v>
                </c:pt>
                <c:pt idx="3">
                  <c:v>25.5</c:v>
                </c:pt>
                <c:pt idx="4">
                  <c:v>30.27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95-47F9-9FEF-1AA30341B170}"/>
            </c:ext>
          </c:extLst>
        </c:ser>
        <c:ser>
          <c:idx val="9"/>
          <c:order val="9"/>
          <c:tx>
            <c:strRef>
              <c:f>'Average GRD'!$L$42</c:f>
              <c:strCache>
                <c:ptCount val="1"/>
                <c:pt idx="0">
                  <c:v>SES TI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GRD'!$B$43:$B$48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GRD'!$L$43:$L$48</c:f>
              <c:numCache>
                <c:formatCode>0.00</c:formatCode>
                <c:ptCount val="6"/>
                <c:pt idx="0">
                  <c:v>24.76</c:v>
                </c:pt>
                <c:pt idx="1">
                  <c:v>24.78</c:v>
                </c:pt>
                <c:pt idx="2">
                  <c:v>24.72</c:v>
                </c:pt>
                <c:pt idx="3">
                  <c:v>29.24</c:v>
                </c:pt>
                <c:pt idx="4">
                  <c:v>34.909999999999997</c:v>
                </c:pt>
                <c:pt idx="5">
                  <c:v>34.04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95-47F9-9FEF-1AA30341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6592"/>
        <c:axId val="995170352"/>
      </c:scatterChart>
      <c:valAx>
        <c:axId val="9951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0352"/>
        <c:crosses val="autoZero"/>
        <c:crossBetween val="midCat"/>
      </c:valAx>
      <c:valAx>
        <c:axId val="995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Export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GRD'!$D$52</c:f>
              <c:strCache>
                <c:ptCount val="1"/>
                <c:pt idx="0">
                  <c:v>OIKEN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GRD'!$D$53:$D$58</c:f>
              <c:numCache>
                <c:formatCode>0.00</c:formatCode>
                <c:ptCount val="6"/>
                <c:pt idx="0">
                  <c:v>8.1999999999999993</c:v>
                </c:pt>
                <c:pt idx="1">
                  <c:v>7.3</c:v>
                </c:pt>
                <c:pt idx="2">
                  <c:v>8.3000000000000007</c:v>
                </c:pt>
                <c:pt idx="3">
                  <c:v>16.45</c:v>
                </c:pt>
                <c:pt idx="4">
                  <c:v>18.2</c:v>
                </c:pt>
                <c:pt idx="5">
                  <c:v>11.2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0-4F06-99FD-5190BB4A63B2}"/>
            </c:ext>
          </c:extLst>
        </c:ser>
        <c:ser>
          <c:idx val="1"/>
          <c:order val="1"/>
          <c:tx>
            <c:strRef>
              <c:f>'Average GRD'!$E$52</c:f>
              <c:strCache>
                <c:ptCount val="1"/>
                <c:pt idx="0">
                  <c:v>Romande Energie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GRD'!$E$53:$E$58</c:f>
              <c:numCache>
                <c:formatCode>0.00</c:formatCode>
                <c:ptCount val="6"/>
                <c:pt idx="0">
                  <c:v>8.16</c:v>
                </c:pt>
                <c:pt idx="1">
                  <c:v>8.16</c:v>
                </c:pt>
                <c:pt idx="2">
                  <c:v>9.5</c:v>
                </c:pt>
                <c:pt idx="3">
                  <c:v>18.600000000000001</c:v>
                </c:pt>
                <c:pt idx="4">
                  <c:v>17.600000000000001</c:v>
                </c:pt>
                <c:pt idx="5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B0-4F06-99FD-5190BB4A63B2}"/>
            </c:ext>
          </c:extLst>
        </c:ser>
        <c:ser>
          <c:idx val="2"/>
          <c:order val="2"/>
          <c:tx>
            <c:strRef>
              <c:f>'Average GRD'!$F$52</c:f>
              <c:strCache>
                <c:ptCount val="1"/>
                <c:pt idx="0">
                  <c:v>Genedis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GRD'!$F$53:$F$58</c:f>
              <c:numCache>
                <c:formatCode>0.00</c:formatCode>
                <c:ptCount val="6"/>
                <c:pt idx="0">
                  <c:v>7.7</c:v>
                </c:pt>
                <c:pt idx="1">
                  <c:v>9.1999999999999993</c:v>
                </c:pt>
                <c:pt idx="2">
                  <c:v>9</c:v>
                </c:pt>
                <c:pt idx="3">
                  <c:v>14.3</c:v>
                </c:pt>
                <c:pt idx="4">
                  <c:v>14.3</c:v>
                </c:pt>
                <c:pt idx="5">
                  <c:v>12.6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B0-4F06-99FD-5190BB4A63B2}"/>
            </c:ext>
          </c:extLst>
        </c:ser>
        <c:ser>
          <c:idx val="3"/>
          <c:order val="3"/>
          <c:tx>
            <c:strRef>
              <c:f>'Average GRD'!$G$52</c:f>
              <c:strCache>
                <c:ptCount val="1"/>
                <c:pt idx="0">
                  <c:v>Groupe E FR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GRD'!$G$53:$G$58</c:f>
              <c:numCache>
                <c:formatCode>0.00</c:formatCode>
                <c:ptCount val="6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14.45</c:v>
                </c:pt>
                <c:pt idx="4">
                  <c:v>14.45</c:v>
                </c:pt>
                <c:pt idx="5">
                  <c:v>10.91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B0-4F06-99FD-5190BB4A63B2}"/>
            </c:ext>
          </c:extLst>
        </c:ser>
        <c:ser>
          <c:idx val="4"/>
          <c:order val="4"/>
          <c:tx>
            <c:strRef>
              <c:f>'Average GRD'!$H$52</c:f>
              <c:strCache>
                <c:ptCount val="1"/>
                <c:pt idx="0">
                  <c:v>Groupe E 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GRD'!$H$53:$H$58</c:f>
              <c:numCache>
                <c:formatCode>0.00</c:formatCode>
                <c:ptCount val="6"/>
                <c:pt idx="0">
                  <c:v>9.3000000000000007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14.45</c:v>
                </c:pt>
                <c:pt idx="4">
                  <c:v>14.45</c:v>
                </c:pt>
                <c:pt idx="5">
                  <c:v>10.91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B0-4F06-99FD-5190BB4A63B2}"/>
            </c:ext>
          </c:extLst>
        </c:ser>
        <c:ser>
          <c:idx val="5"/>
          <c:order val="5"/>
          <c:tx>
            <c:strRef>
              <c:f>'Average GRD'!$I$52</c:f>
              <c:strCache>
                <c:ptCount val="1"/>
                <c:pt idx="0">
                  <c:v>La Goule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GRD'!$I$53:$I$58</c:f>
              <c:numCache>
                <c:formatCode>0.00</c:formatCode>
                <c:ptCount val="6"/>
                <c:pt idx="0">
                  <c:v>9.5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B0-4F06-99FD-5190BB4A63B2}"/>
            </c:ext>
          </c:extLst>
        </c:ser>
        <c:ser>
          <c:idx val="6"/>
          <c:order val="6"/>
          <c:tx>
            <c:strRef>
              <c:f>'Average GRD'!$C$52</c:f>
              <c:strCache>
                <c:ptCount val="1"/>
                <c:pt idx="0">
                  <c:v>Average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GRD'!$C$53:$C$58</c:f>
              <c:numCache>
                <c:formatCode>0.00</c:formatCode>
                <c:ptCount val="6"/>
                <c:pt idx="0">
                  <c:v>8.5022222222222226</c:v>
                </c:pt>
                <c:pt idx="1">
                  <c:v>10.483333333333334</c:v>
                </c:pt>
                <c:pt idx="2">
                  <c:v>9.1250000000000018</c:v>
                </c:pt>
                <c:pt idx="3">
                  <c:v>13.147777777777778</c:v>
                </c:pt>
                <c:pt idx="4">
                  <c:v>12.70777777777778</c:v>
                </c:pt>
                <c:pt idx="5">
                  <c:v>10.899999999999999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B0-4F06-99FD-5190BB4A63B2}"/>
            </c:ext>
          </c:extLst>
        </c:ser>
        <c:ser>
          <c:idx val="7"/>
          <c:order val="7"/>
          <c:tx>
            <c:strRef>
              <c:f>'Average GRD'!$J$52</c:f>
              <c:strCache>
                <c:ptCount val="1"/>
                <c:pt idx="0">
                  <c:v>BKW BE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GRD'!$J$53:$J$58</c:f>
              <c:numCache>
                <c:formatCode>0.00</c:formatCode>
                <c:ptCount val="6"/>
                <c:pt idx="0">
                  <c:v>7.68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B0-4F06-99FD-5190BB4A63B2}"/>
            </c:ext>
          </c:extLst>
        </c:ser>
        <c:ser>
          <c:idx val="8"/>
          <c:order val="8"/>
          <c:tx>
            <c:strRef>
              <c:f>'Average GRD'!$K$52</c:f>
              <c:strCache>
                <c:ptCount val="1"/>
                <c:pt idx="0">
                  <c:v>BKW JU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GRD'!$K$53:$K$58</c:f>
              <c:numCache>
                <c:formatCode>0.00</c:formatCode>
                <c:ptCount val="6"/>
                <c:pt idx="0">
                  <c:v>7.68</c:v>
                </c:pt>
                <c:pt idx="1">
                  <c:v>14.03</c:v>
                </c:pt>
                <c:pt idx="3">
                  <c:v>9.36</c:v>
                </c:pt>
                <c:pt idx="4">
                  <c:v>6.79</c:v>
                </c:pt>
                <c:pt idx="5">
                  <c:v>10.41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B0-4F06-99FD-5190BB4A63B2}"/>
            </c:ext>
          </c:extLst>
        </c:ser>
        <c:ser>
          <c:idx val="9"/>
          <c:order val="9"/>
          <c:tx>
            <c:strRef>
              <c:f>'Average GRD'!$L$52</c:f>
              <c:strCache>
                <c:ptCount val="1"/>
                <c:pt idx="0">
                  <c:v>SES TI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'Average GRD'!$B$53:$B$58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xVal>
          <c:yVal>
            <c:numRef>
              <c:f>'Average GRD'!$L$53:$L$58</c:f>
              <c:numCache>
                <c:formatCode>0.00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9.35</c:v>
                </c:pt>
                <c:pt idx="3">
                  <c:v>12</c:v>
                </c:pt>
                <c:pt idx="4">
                  <c:v>15</c:v>
                </c:pt>
                <c:pt idx="5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B0-4F06-99FD-5190BB4A6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176592"/>
        <c:axId val="995170352"/>
      </c:scatterChart>
      <c:valAx>
        <c:axId val="99517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0352"/>
        <c:crosses val="autoZero"/>
        <c:crossBetween val="midCat"/>
      </c:valAx>
      <c:valAx>
        <c:axId val="99517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9517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1.7457786526684164E-2"/>
                  <c:y val="-6.06692205781180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4.7167104111986005E-2"/>
                  <c:y val="0.19839518990339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'Average GRD'!$B$21:$B$32</c:f>
              <c:numCache>
                <c:formatCode>General</c:formatCode>
                <c:ptCount val="12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</c:numCache>
            </c:numRef>
          </c:xVal>
          <c:yVal>
            <c:numRef>
              <c:f>'Average GRD'!$E$21:$E$32</c:f>
              <c:numCache>
                <c:formatCode>0.00</c:formatCode>
                <c:ptCount val="12"/>
                <c:pt idx="0" formatCode="0.0">
                  <c:v>18.827777777777779</c:v>
                </c:pt>
                <c:pt idx="1">
                  <c:v>19.849851851851327</c:v>
                </c:pt>
                <c:pt idx="2">
                  <c:v>21.130391534391038</c:v>
                </c:pt>
                <c:pt idx="3">
                  <c:v>22.410931216930749</c:v>
                </c:pt>
                <c:pt idx="4">
                  <c:v>23.69147089947046</c:v>
                </c:pt>
                <c:pt idx="5">
                  <c:v>25.091470899470458</c:v>
                </c:pt>
                <c:pt idx="6">
                  <c:v>26.291470899470458</c:v>
                </c:pt>
                <c:pt idx="7">
                  <c:v>27.391470899470459</c:v>
                </c:pt>
                <c:pt idx="8">
                  <c:v>28.291470899470458</c:v>
                </c:pt>
                <c:pt idx="9">
                  <c:v>29.091470899470458</c:v>
                </c:pt>
                <c:pt idx="10">
                  <c:v>29.561470899470457</c:v>
                </c:pt>
                <c:pt idx="11">
                  <c:v>29.911470899470459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9-4016-9C3E-E3EE91C00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664975"/>
        <c:axId val="1530656815"/>
      </c:scatterChart>
      <c:valAx>
        <c:axId val="153066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656815"/>
        <c:crosses val="autoZero"/>
        <c:crossBetween val="midCat"/>
      </c:valAx>
      <c:valAx>
        <c:axId val="153065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664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GRD'!$Y$29:$Y$61</c:f>
              <c:numCache>
                <c:formatCode>General</c:formatCode>
                <c:ptCount val="3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</c:numCache>
            </c:numRef>
          </c:xVal>
          <c:yVal>
            <c:numRef>
              <c:f>'Average GRD'!$Z$29:$Z$61</c:f>
              <c:numCache>
                <c:formatCode>General</c:formatCode>
                <c:ptCount val="33"/>
                <c:pt idx="0">
                  <c:v>19.583137937464926</c:v>
                </c:pt>
                <c:pt idx="1">
                  <c:v>20.658477381672128</c:v>
                </c:pt>
                <c:pt idx="2">
                  <c:v>21.73328618710002</c:v>
                </c:pt>
                <c:pt idx="3">
                  <c:v>22.80756487718827</c:v>
                </c:pt>
                <c:pt idx="7">
                  <c:v>23.881313974605291</c:v>
                </c:pt>
                <c:pt idx="8">
                  <c:v>24.954534001248248</c:v>
                </c:pt>
                <c:pt idx="9">
                  <c:v>26.027225478235778</c:v>
                </c:pt>
                <c:pt idx="10">
                  <c:v>27.099388925926178</c:v>
                </c:pt>
                <c:pt idx="11">
                  <c:v>28.171024863902858</c:v>
                </c:pt>
                <c:pt idx="12">
                  <c:v>29.242133810985251</c:v>
                </c:pt>
                <c:pt idx="13">
                  <c:v>30.312716285228817</c:v>
                </c:pt>
                <c:pt idx="14">
                  <c:v>31.382772803925036</c:v>
                </c:pt>
                <c:pt idx="15">
                  <c:v>32.452303883605055</c:v>
                </c:pt>
                <c:pt idx="16">
                  <c:v>33.521310040032404</c:v>
                </c:pt>
                <c:pt idx="17">
                  <c:v>34.589791788217553</c:v>
                </c:pt>
                <c:pt idx="18">
                  <c:v>35.657749642417912</c:v>
                </c:pt>
                <c:pt idx="19">
                  <c:v>36.725184116123273</c:v>
                </c:pt>
                <c:pt idx="20">
                  <c:v>37.792095722074009</c:v>
                </c:pt>
                <c:pt idx="21">
                  <c:v>38.858484972261067</c:v>
                </c:pt>
                <c:pt idx="22">
                  <c:v>39.924352377922332</c:v>
                </c:pt>
                <c:pt idx="23">
                  <c:v>40.989698449538992</c:v>
                </c:pt>
                <c:pt idx="24">
                  <c:v>42.054523696853721</c:v>
                </c:pt>
                <c:pt idx="25">
                  <c:v>43.118828628852498</c:v>
                </c:pt>
                <c:pt idx="26">
                  <c:v>44.182613753786427</c:v>
                </c:pt>
                <c:pt idx="27">
                  <c:v>45.245879579146276</c:v>
                </c:pt>
                <c:pt idx="28">
                  <c:v>46.308626611695217</c:v>
                </c:pt>
                <c:pt idx="29">
                  <c:v>47.370855357450637</c:v>
                </c:pt>
                <c:pt idx="30">
                  <c:v>48.432566321687773</c:v>
                </c:pt>
                <c:pt idx="31">
                  <c:v>49.493760008939716</c:v>
                </c:pt>
                <c:pt idx="32">
                  <c:v>50.554436923008325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4-4607-92F2-65ECCE5BE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560335"/>
        <c:axId val="1530559855"/>
      </c:scatterChart>
      <c:valAx>
        <c:axId val="153056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559855"/>
        <c:crosses val="autoZero"/>
        <c:crossBetween val="midCat"/>
      </c:valAx>
      <c:valAx>
        <c:axId val="153055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0560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GRD'!$Z$28</c:f>
              <c:strCache>
                <c:ptCount val="1"/>
                <c:pt idx="0">
                  <c:v>log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GRD'!$Y$29:$Y$61</c:f>
              <c:numCache>
                <c:formatCode>General</c:formatCode>
                <c:ptCount val="3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</c:numCache>
            </c:numRef>
          </c:xVal>
          <c:yVal>
            <c:numRef>
              <c:f>'Average GRD'!$Z$29:$Z$61</c:f>
              <c:numCache>
                <c:formatCode>General</c:formatCode>
                <c:ptCount val="33"/>
                <c:pt idx="0">
                  <c:v>19.583137937464926</c:v>
                </c:pt>
                <c:pt idx="1">
                  <c:v>20.658477381672128</c:v>
                </c:pt>
                <c:pt idx="2">
                  <c:v>21.73328618710002</c:v>
                </c:pt>
                <c:pt idx="3">
                  <c:v>22.80756487718827</c:v>
                </c:pt>
                <c:pt idx="7">
                  <c:v>23.881313974605291</c:v>
                </c:pt>
                <c:pt idx="8">
                  <c:v>24.954534001248248</c:v>
                </c:pt>
                <c:pt idx="9">
                  <c:v>26.027225478235778</c:v>
                </c:pt>
                <c:pt idx="10">
                  <c:v>27.099388925926178</c:v>
                </c:pt>
                <c:pt idx="11">
                  <c:v>28.171024863902858</c:v>
                </c:pt>
                <c:pt idx="12">
                  <c:v>29.242133810985251</c:v>
                </c:pt>
                <c:pt idx="13">
                  <c:v>30.312716285228817</c:v>
                </c:pt>
                <c:pt idx="14">
                  <c:v>31.382772803925036</c:v>
                </c:pt>
                <c:pt idx="15">
                  <c:v>32.452303883605055</c:v>
                </c:pt>
                <c:pt idx="16">
                  <c:v>33.521310040032404</c:v>
                </c:pt>
                <c:pt idx="17">
                  <c:v>34.589791788217553</c:v>
                </c:pt>
                <c:pt idx="18">
                  <c:v>35.657749642417912</c:v>
                </c:pt>
                <c:pt idx="19">
                  <c:v>36.725184116123273</c:v>
                </c:pt>
                <c:pt idx="20">
                  <c:v>37.792095722074009</c:v>
                </c:pt>
                <c:pt idx="21">
                  <c:v>38.858484972261067</c:v>
                </c:pt>
                <c:pt idx="22">
                  <c:v>39.924352377922332</c:v>
                </c:pt>
                <c:pt idx="23">
                  <c:v>40.989698449538992</c:v>
                </c:pt>
                <c:pt idx="24">
                  <c:v>42.054523696853721</c:v>
                </c:pt>
                <c:pt idx="25">
                  <c:v>43.118828628852498</c:v>
                </c:pt>
                <c:pt idx="26">
                  <c:v>44.182613753786427</c:v>
                </c:pt>
                <c:pt idx="27">
                  <c:v>45.245879579146276</c:v>
                </c:pt>
                <c:pt idx="28">
                  <c:v>46.308626611695217</c:v>
                </c:pt>
                <c:pt idx="29">
                  <c:v>47.370855357450637</c:v>
                </c:pt>
                <c:pt idx="30">
                  <c:v>48.432566321687773</c:v>
                </c:pt>
                <c:pt idx="31">
                  <c:v>49.493760008939716</c:v>
                </c:pt>
                <c:pt idx="32">
                  <c:v>50.554436923008325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4-405B-9297-5B3AF27EE907}"/>
            </c:ext>
          </c:extLst>
        </c:ser>
        <c:ser>
          <c:idx val="1"/>
          <c:order val="1"/>
          <c:tx>
            <c:strRef>
              <c:f>'Average GRD'!$AA$28</c:f>
              <c:strCache>
                <c:ptCount val="1"/>
                <c:pt idx="0">
                  <c:v>Linéaire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GRD'!$Y$29:$Y$61</c:f>
              <c:numCache>
                <c:formatCode>General</c:formatCode>
                <c:ptCount val="3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</c:numCache>
            </c:numRef>
          </c:xVal>
          <c:yVal>
            <c:numRef>
              <c:f>'Average GRD'!$AA$29:$AA$61</c:f>
              <c:numCache>
                <c:formatCode>General</c:formatCode>
                <c:ptCount val="33"/>
                <c:pt idx="0">
                  <c:v>19.220762500000092</c:v>
                </c:pt>
                <c:pt idx="1">
                  <c:v>20.294259000000238</c:v>
                </c:pt>
                <c:pt idx="2">
                  <c:v>21.367755500000385</c:v>
                </c:pt>
                <c:pt idx="3">
                  <c:v>22.441252000000077</c:v>
                </c:pt>
                <c:pt idx="7">
                  <c:v>23.514748500000223</c:v>
                </c:pt>
                <c:pt idx="8">
                  <c:v>24.58824500000037</c:v>
                </c:pt>
                <c:pt idx="9">
                  <c:v>25.661741500000062</c:v>
                </c:pt>
                <c:pt idx="10">
                  <c:v>26.735238000000209</c:v>
                </c:pt>
                <c:pt idx="11">
                  <c:v>27.808734500000355</c:v>
                </c:pt>
                <c:pt idx="12">
                  <c:v>28.882231000000502</c:v>
                </c:pt>
                <c:pt idx="13">
                  <c:v>29.955727500000194</c:v>
                </c:pt>
                <c:pt idx="14">
                  <c:v>31.02922400000034</c:v>
                </c:pt>
                <c:pt idx="15">
                  <c:v>32.102720500000487</c:v>
                </c:pt>
                <c:pt idx="16">
                  <c:v>33.176217000000179</c:v>
                </c:pt>
                <c:pt idx="17">
                  <c:v>34.249713500000325</c:v>
                </c:pt>
                <c:pt idx="18">
                  <c:v>35.323210000000472</c:v>
                </c:pt>
                <c:pt idx="19">
                  <c:v>36.396706500000164</c:v>
                </c:pt>
                <c:pt idx="20">
                  <c:v>37.470203000000311</c:v>
                </c:pt>
                <c:pt idx="21">
                  <c:v>38.543699500000457</c:v>
                </c:pt>
                <c:pt idx="22">
                  <c:v>39.617196000000149</c:v>
                </c:pt>
                <c:pt idx="23">
                  <c:v>40.690692500000296</c:v>
                </c:pt>
                <c:pt idx="24">
                  <c:v>41.764189000000442</c:v>
                </c:pt>
                <c:pt idx="25">
                  <c:v>42.837685500000134</c:v>
                </c:pt>
                <c:pt idx="26">
                  <c:v>43.911182000000281</c:v>
                </c:pt>
                <c:pt idx="27">
                  <c:v>44.984678500000427</c:v>
                </c:pt>
                <c:pt idx="28">
                  <c:v>46.058175000000119</c:v>
                </c:pt>
                <c:pt idx="29">
                  <c:v>47.131671500000266</c:v>
                </c:pt>
                <c:pt idx="30">
                  <c:v>48.205168000000413</c:v>
                </c:pt>
                <c:pt idx="31">
                  <c:v>49.278664500000104</c:v>
                </c:pt>
                <c:pt idx="32">
                  <c:v>50.352161000000251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34-405B-9297-5B3AF27EE907}"/>
            </c:ext>
          </c:extLst>
        </c:ser>
        <c:ser>
          <c:idx val="2"/>
          <c:order val="2"/>
          <c:tx>
            <c:strRef>
              <c:f>'Average GRD'!$AB$28</c:f>
              <c:strCache>
                <c:ptCount val="1"/>
                <c:pt idx="0">
                  <c:v>polynomial dég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'Average GRD'!$Y$29:$Y$61</c:f>
              <c:numCache>
                <c:formatCode>General</c:formatCode>
                <c:ptCount val="3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</c:numCache>
            </c:numRef>
          </c:xVal>
          <c:yVal>
            <c:numRef>
              <c:f>'Average GRD'!$AB$29:$AB$61</c:f>
              <c:numCache>
                <c:formatCode>General</c:formatCode>
                <c:ptCount val="33"/>
                <c:pt idx="0">
                  <c:v>18.410833624977386</c:v>
                </c:pt>
                <c:pt idx="1">
                  <c:v>19.926388320833212</c:v>
                </c:pt>
                <c:pt idx="2">
                  <c:v>21.353531428205315</c:v>
                </c:pt>
                <c:pt idx="3">
                  <c:v>22.692262947239215</c:v>
                </c:pt>
                <c:pt idx="7">
                  <c:v>23.942582877818495</c:v>
                </c:pt>
                <c:pt idx="8">
                  <c:v>25.10449121997226</c:v>
                </c:pt>
                <c:pt idx="9">
                  <c:v>26.177987973816926</c:v>
                </c:pt>
                <c:pt idx="10">
                  <c:v>27.163073139206972</c:v>
                </c:pt>
                <c:pt idx="11">
                  <c:v>28.059746716229711</c:v>
                </c:pt>
                <c:pt idx="12">
                  <c:v>28.86800870479783</c:v>
                </c:pt>
                <c:pt idx="13">
                  <c:v>29.587859105027746</c:v>
                </c:pt>
                <c:pt idx="14">
                  <c:v>30.219297916803043</c:v>
                </c:pt>
                <c:pt idx="15">
                  <c:v>30.762325140181929</c:v>
                </c:pt>
                <c:pt idx="16">
                  <c:v>31.216940775222611</c:v>
                </c:pt>
                <c:pt idx="17">
                  <c:v>31.583144821808673</c:v>
                </c:pt>
                <c:pt idx="18">
                  <c:v>31.860937280027429</c:v>
                </c:pt>
                <c:pt idx="19">
                  <c:v>32.050318149820669</c:v>
                </c:pt>
                <c:pt idx="20">
                  <c:v>32.151287431188393</c:v>
                </c:pt>
                <c:pt idx="21">
                  <c:v>32.163845124217914</c:v>
                </c:pt>
                <c:pt idx="22">
                  <c:v>32.087991228792816</c:v>
                </c:pt>
                <c:pt idx="23">
                  <c:v>31.923725745029515</c:v>
                </c:pt>
                <c:pt idx="24">
                  <c:v>31.671048672811594</c:v>
                </c:pt>
                <c:pt idx="25">
                  <c:v>31.329960012226366</c:v>
                </c:pt>
                <c:pt idx="26">
                  <c:v>30.900459763215622</c:v>
                </c:pt>
                <c:pt idx="27">
                  <c:v>30.382547925779363</c:v>
                </c:pt>
                <c:pt idx="28">
                  <c:v>29.776224500034004</c:v>
                </c:pt>
                <c:pt idx="29">
                  <c:v>29.081489485804923</c:v>
                </c:pt>
                <c:pt idx="30">
                  <c:v>28.298342883237638</c:v>
                </c:pt>
                <c:pt idx="31">
                  <c:v>27.426784692215733</c:v>
                </c:pt>
                <c:pt idx="32">
                  <c:v>26.466814912855625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34-405B-9297-5B3AF27E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479392"/>
        <c:axId val="1729479872"/>
      </c:scatterChart>
      <c:valAx>
        <c:axId val="172947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79872"/>
        <c:crosses val="autoZero"/>
        <c:crossBetween val="midCat"/>
      </c:valAx>
      <c:valAx>
        <c:axId val="172947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9479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[Copie de Modele_Prev_Evolium.xlsx]Feuil10!Tableau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« Champ2 » a une valeur hors norme à « Champ1 » : </a:t>
            </a:r>
            <a:r>
              <a:rPr lang="en-US">
                <a:solidFill>
                  <a:srgbClr val="DD5A13"/>
                </a:solidFill>
              </a:rPr>
              <a:t>2024</a:t>
            </a:r>
            <a:r>
              <a:rPr lang="en-US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 w="9525">
              <a:solidFill>
                <a:srgbClr val="FFFFFF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Feuil10!$B$2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3"/>
            <c:marker>
              <c:symbol val="circle"/>
              <c:size val="7"/>
              <c:spPr>
                <a:solidFill>
                  <a:srgbClr val="ED7331"/>
                </a:solidFill>
                <a:ln w="9525">
                  <a:solidFill>
                    <a:srgbClr val="FFFFFF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82A-42E7-86CF-196B21D0EE7A}"/>
              </c:ext>
            </c:extLst>
          </c:dPt>
          <c:cat>
            <c:strRef>
              <c:f>Feuil10!$A$3:$A$19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  <c:pt idx="15">
                  <c:v>2026</c:v>
                </c:pt>
              </c:strCache>
            </c:strRef>
          </c:cat>
          <c:val>
            <c:numRef>
              <c:f>Feuil10!$B$3:$B$19</c:f>
              <c:numCache>
                <c:formatCode>General</c:formatCode>
                <c:ptCount val="16"/>
                <c:pt idx="0">
                  <c:v>19.91</c:v>
                </c:pt>
                <c:pt idx="1">
                  <c:v>19.899999999999999</c:v>
                </c:pt>
                <c:pt idx="2">
                  <c:v>19.71</c:v>
                </c:pt>
                <c:pt idx="3">
                  <c:v>19.96</c:v>
                </c:pt>
                <c:pt idx="4">
                  <c:v>20.58</c:v>
                </c:pt>
                <c:pt idx="5">
                  <c:v>20.64</c:v>
                </c:pt>
                <c:pt idx="6">
                  <c:v>20.16</c:v>
                </c:pt>
                <c:pt idx="7">
                  <c:v>21.01</c:v>
                </c:pt>
                <c:pt idx="8">
                  <c:v>20.54</c:v>
                </c:pt>
                <c:pt idx="9">
                  <c:v>20.71</c:v>
                </c:pt>
                <c:pt idx="10">
                  <c:v>20.47</c:v>
                </c:pt>
                <c:pt idx="11">
                  <c:v>21.16</c:v>
                </c:pt>
                <c:pt idx="12">
                  <c:v>27.2</c:v>
                </c:pt>
                <c:pt idx="13">
                  <c:v>32.08</c:v>
                </c:pt>
                <c:pt idx="14">
                  <c:v>29</c:v>
                </c:pt>
                <c:pt idx="15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A-42E7-86CF-196B21D0E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871376"/>
        <c:axId val="1620889136"/>
      </c:lineChart>
      <c:catAx>
        <c:axId val="162087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Champ1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89136"/>
        <c:crosses val="autoZero"/>
        <c:auto val="1"/>
        <c:lblAlgn val="ctr"/>
        <c:lblOffset val="100"/>
        <c:noMultiLvlLbl val="0"/>
      </c:catAx>
      <c:valAx>
        <c:axId val="16208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Champ2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087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175ECDD-26E4-DFBE-9283-B4762ACA1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84CDAB-8CA1-DB56-883B-A58928A5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9EE7A5C-A625-AD86-20CF-E7F69A4C7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2FC6C3D-942C-3DE5-D5D0-C01F7667A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1E5CFCF-8F0A-BFB3-1CAB-3ECFF9756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45117DE-3104-8321-2693-F5D67FA85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21</xdr:row>
      <xdr:rowOff>12700</xdr:rowOff>
    </xdr:from>
    <xdr:to>
      <xdr:col>19</xdr:col>
      <xdr:colOff>177800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E27B350-1D0A-DF95-ECB0-13BA42B98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749300</xdr:colOff>
      <xdr:row>4</xdr:row>
      <xdr:rowOff>158750</xdr:rowOff>
    </xdr:from>
    <xdr:to>
      <xdr:col>21</xdr:col>
      <xdr:colOff>44450</xdr:colOff>
      <xdr:row>28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605DFB1-4FAF-CF15-4A56-557479DF4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692150</xdr:colOff>
      <xdr:row>21</xdr:row>
      <xdr:rowOff>12700</xdr:rowOff>
    </xdr:from>
    <xdr:to>
      <xdr:col>18</xdr:col>
      <xdr:colOff>749300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E46D75F-5BA9-CECA-C611-AE910285D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263525</xdr:colOff>
      <xdr:row>21</xdr:row>
      <xdr:rowOff>12700</xdr:rowOff>
    </xdr:from>
    <xdr:to>
      <xdr:col>21</xdr:col>
      <xdr:colOff>320675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CD72E5-F207-301A-8059-5E86DC37C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377825</xdr:colOff>
      <xdr:row>21</xdr:row>
      <xdr:rowOff>12700</xdr:rowOff>
    </xdr:from>
    <xdr:to>
      <xdr:col>21</xdr:col>
      <xdr:colOff>434975</xdr:colOff>
      <xdr:row>44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90C0D14-B2EE-C785-AE55-3D4E722F4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21</xdr:row>
      <xdr:rowOff>127000</xdr:rowOff>
    </xdr:from>
    <xdr:to>
      <xdr:col>22</xdr:col>
      <xdr:colOff>330200</xdr:colOff>
      <xdr:row>45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119B8A8-6AE6-3C8D-87F0-FD9A2E254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615950</xdr:colOff>
      <xdr:row>46</xdr:row>
      <xdr:rowOff>101600</xdr:rowOff>
    </xdr:from>
    <xdr:to>
      <xdr:col>24</xdr:col>
      <xdr:colOff>273050</xdr:colOff>
      <xdr:row>70</xdr:row>
      <xdr:rowOff>88900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CFD0795-93B2-6ED9-322B-F34AAF7AB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265578</xdr:colOff>
      <xdr:row>5</xdr:row>
      <xdr:rowOff>100895</xdr:rowOff>
    </xdr:from>
    <xdr:to>
      <xdr:col>23</xdr:col>
      <xdr:colOff>513784</xdr:colOff>
      <xdr:row>30</xdr:row>
      <xdr:rowOff>93254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63161C-FA6E-42CD-A45C-D3C9ACEE6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263703</xdr:colOff>
      <xdr:row>30</xdr:row>
      <xdr:rowOff>76168</xdr:rowOff>
    </xdr:from>
    <xdr:to>
      <xdr:col>17</xdr:col>
      <xdr:colOff>779301</xdr:colOff>
      <xdr:row>58</xdr:row>
      <xdr:rowOff>68528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66DAAD-9475-73E2-5F30-4C37B7097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777659</xdr:colOff>
      <xdr:row>30</xdr:row>
      <xdr:rowOff>87576</xdr:rowOff>
    </xdr:from>
    <xdr:to>
      <xdr:col>23</xdr:col>
      <xdr:colOff>514698</xdr:colOff>
      <xdr:row>58</xdr:row>
      <xdr:rowOff>75128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ABC66C2-E15F-4F67-845D-EFA74EC2D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454805</xdr:colOff>
      <xdr:row>11</xdr:row>
      <xdr:rowOff>49357</xdr:rowOff>
    </xdr:from>
    <xdr:to>
      <xdr:col>29</xdr:col>
      <xdr:colOff>454805</xdr:colOff>
      <xdr:row>25</xdr:row>
      <xdr:rowOff>175016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7AC029A-0A87-3003-D4DF-66B4E84C8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52838</xdr:colOff>
      <xdr:row>30</xdr:row>
      <xdr:rowOff>6266</xdr:rowOff>
    </xdr:from>
    <xdr:to>
      <xdr:col>36</xdr:col>
      <xdr:colOff>52838</xdr:colOff>
      <xdr:row>47</xdr:row>
      <xdr:rowOff>172718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AB86182-884F-95C9-06B6-E71BE91ED7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198782</xdr:colOff>
      <xdr:row>13</xdr:row>
      <xdr:rowOff>157923</xdr:rowOff>
    </xdr:from>
    <xdr:to>
      <xdr:col>36</xdr:col>
      <xdr:colOff>198782</xdr:colOff>
      <xdr:row>28</xdr:row>
      <xdr:rowOff>167862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8AF5C27-8141-01E2-979C-0C48D106C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165100</xdr:rowOff>
    </xdr:to>
    <xdr:graphicFrame macro="">
      <xdr:nvGraphicFramePr>
        <xdr:cNvPr id="2" name="Graphique 1" descr="Type de graphique : Courbes. « Champ2 » a une valeur hors norme à « Champ1 » : 2024.&#10;&#10;Description générée automatiquement">
          <a:extLst>
            <a:ext uri="{FF2B5EF4-FFF2-40B4-BE49-F238E27FC236}">
              <a16:creationId xmlns:a16="http://schemas.microsoft.com/office/drawing/2014/main" id="{DEE59FA7-E753-4470-B514-7C7164CBF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formatique INGTECH" refreshedDate="46055.601398611114" createdVersion="8" refreshedVersion="8" minRefreshableVersion="3" recordCount="16" xr:uid="{86185A58-9B62-47E0-8A65-638EDD5BAE04}">
  <cacheSource type="worksheet">
    <worksheetSource ref="C6:D22" sheet="Feuil9"/>
  </cacheSource>
  <cacheFields count="2">
    <cacheField name="Champ1" numFmtId="0">
      <sharedItems containsSemiMixedTypes="0" containsString="0" containsNumber="1" containsInteger="1" minValue="2011" maxValue="2026" count="16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Champ2" numFmtId="0">
      <sharedItems containsSemiMixedTypes="0" containsString="0" containsNumber="1" minValue="19.71" maxValue="32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n v="19.91"/>
  </r>
  <r>
    <x v="1"/>
    <n v="19.899999999999999"/>
  </r>
  <r>
    <x v="2"/>
    <n v="19.71"/>
  </r>
  <r>
    <x v="3"/>
    <n v="19.96"/>
  </r>
  <r>
    <x v="4"/>
    <n v="20.58"/>
  </r>
  <r>
    <x v="5"/>
    <n v="20.64"/>
  </r>
  <r>
    <x v="6"/>
    <n v="20.16"/>
  </r>
  <r>
    <x v="7"/>
    <n v="21.01"/>
  </r>
  <r>
    <x v="8"/>
    <n v="20.54"/>
  </r>
  <r>
    <x v="9"/>
    <n v="20.71"/>
  </r>
  <r>
    <x v="10"/>
    <n v="20.47"/>
  </r>
  <r>
    <x v="11"/>
    <n v="21.16"/>
  </r>
  <r>
    <x v="12"/>
    <n v="27.2"/>
  </r>
  <r>
    <x v="13"/>
    <n v="32.08"/>
  </r>
  <r>
    <x v="14"/>
    <n v="29"/>
  </r>
  <r>
    <x v="15"/>
    <n v="2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99761-F0D5-43B3-86B0-567D9C6BC2A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1">
  <location ref="A2:B19" firstHeaderRow="1" firstDataRow="1" firstDataCol="1"/>
  <pivotFields count="2"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me de Champ2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A8BE3-58AA-4CDA-91FE-6B4DF6B56969}" name="Tableau1" displayName="Tableau1" ref="A1:E36" totalsRowShown="0">
  <autoFilter ref="A1:E36" xr:uid="{B4BA8BE3-58AA-4CDA-91FE-6B4DF6B56969}"/>
  <tableColumns count="5">
    <tableColumn id="1" xr3:uid="{60667A38-2FD1-42D2-A3F1-F313A67DB584}" name="Chronologie"/>
    <tableColumn id="2" xr3:uid="{34D62A74-C924-4CC9-A833-99A4FFC7245B}" name="Valeurs"/>
    <tableColumn id="3" xr3:uid="{0E7FF6E4-ACD1-4B1C-9F36-09D64A4FF84E}" name="Prévision" dataDxfId="31">
      <calculatedColumnFormula>_xlfn.FORECAST.ETS(A2,$B$2:$B$7,$A$2:$A$7,1,1)</calculatedColumnFormula>
    </tableColumn>
    <tableColumn id="4" xr3:uid="{EC03525E-8F17-42FB-B0EC-32531E1A6013}" name="Limite de confiance inférieure" dataDxfId="30">
      <calculatedColumnFormula>C2-_xlfn.FORECAST.ETS.CONFINT(A2,$B$2:$B$7,$A$2:$A$7,0.95,1,1)</calculatedColumnFormula>
    </tableColumn>
    <tableColumn id="5" xr3:uid="{B7F165A1-D3FA-4B88-85DF-0B095E91EFEE}" name="Limite de confiance supérieure" dataDxfId="29">
      <calculatedColumnFormula>C2+_xlfn.FORECAST.ETS.CONFINT(A2,$B$2:$B$7,$A$2:$A$7,0.95,1,1)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73763A-8FE0-490A-8661-B0B9FFCCF9C4}" name="Tableau2" displayName="Tableau2" ref="A1:E19" totalsRowShown="0">
  <autoFilter ref="A1:E19" xr:uid="{0773763A-8FE0-490A-8661-B0B9FFCCF9C4}"/>
  <tableColumns count="5">
    <tableColumn id="1" xr3:uid="{C72E8FF3-DFAB-4601-B11F-A19FDC17D54F}" name="Chronologie"/>
    <tableColumn id="2" xr3:uid="{18B9A469-4397-42C2-BEDB-B537E1BB7C88}" name="Valeurs"/>
    <tableColumn id="3" xr3:uid="{195A2245-A89D-451C-860F-8635E60DF313}" name="Prévision" dataDxfId="28">
      <calculatedColumnFormula>_xlfn.FORECAST.ETS(A2,$B$2:$B$15,$A$2:$A$15,1,1)</calculatedColumnFormula>
    </tableColumn>
    <tableColumn id="4" xr3:uid="{E4C26DE0-D0FE-4654-B93B-06CF5B182ABE}" name="Limite de confiance inférieure" dataDxfId="27">
      <calculatedColumnFormula>C2-_xlfn.FORECAST.ETS.CONFINT(A2,$B$2:$B$15,$A$2:$A$15,0.95,1,1)</calculatedColumnFormula>
    </tableColumn>
    <tableColumn id="5" xr3:uid="{B84603B0-2E97-4529-9240-B1CF7D36D898}" name="Limite de confiance supérieure" dataDxfId="26">
      <calculatedColumnFormula>C2+_xlfn.FORECAST.ETS.CONFINT(A2,$B$2:$B$15,$A$2:$A$15,0.95,1,1)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2DD26-95FA-48B1-89B8-3B3770BD43B7}" name="Tableau3" displayName="Tableau3" ref="A1:E37" totalsRowShown="0">
  <autoFilter ref="A1:E37" xr:uid="{3FB2DD26-95FA-48B1-89B8-3B3770BD43B7}"/>
  <tableColumns count="5">
    <tableColumn id="1" xr3:uid="{E0BD7C3F-81F8-4CC8-B997-E2026E911BAA}" name="Chronologie"/>
    <tableColumn id="2" xr3:uid="{10E9857A-89C3-426E-9D3D-8B20E64C92E4}" name="Valeurs"/>
    <tableColumn id="3" xr3:uid="{284E9A7B-E013-44F5-9C7B-8DB879F36EA4}" name="Prévision" dataDxfId="25">
      <calculatedColumnFormula>_xlfn.FORECAST.ETS(A2,$B$2:$B$15,$A$2:$A$15,1,1)</calculatedColumnFormula>
    </tableColumn>
    <tableColumn id="4" xr3:uid="{046F7645-9FA0-4E90-A102-A3B300136523}" name="Limite de confiance inférieure" dataDxfId="24">
      <calculatedColumnFormula>C2-_xlfn.FORECAST.ETS.CONFINT(A2,$B$2:$B$15,$A$2:$A$15,0.95,1,1)</calculatedColumnFormula>
    </tableColumn>
    <tableColumn id="5" xr3:uid="{A9BBF04B-5A09-442F-81D0-5A18D644C315}" name="Limite de confiance supérieure" dataDxfId="23">
      <calculatedColumnFormula>C2+_xlfn.FORECAST.ETS.CONFINT(A2,$B$2:$B$15,$A$2:$A$15,0.95,1,1)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6F411A-746A-40AB-B075-AFDE421C76EF}" name="Tableau4" displayName="Tableau4" ref="A1:E54" totalsRowShown="0">
  <autoFilter ref="A1:E54" xr:uid="{896F411A-746A-40AB-B075-AFDE421C76EF}"/>
  <tableColumns count="5">
    <tableColumn id="1" xr3:uid="{ECDD8D2C-48F1-4D07-AE8B-C95D4F6114DD}" name="Chronologie"/>
    <tableColumn id="2" xr3:uid="{24D0A605-8EEB-421E-8428-850E2AE77502}" name="Valeurs"/>
    <tableColumn id="3" xr3:uid="{47A4F87D-8032-4699-9CF8-E2825309E327}" name="Prévision">
      <calculatedColumnFormula>_xlfn.FORECAST.ETS(A2,$B$2:$B$16,$A$2:$A$16,1,1)</calculatedColumnFormula>
    </tableColumn>
    <tableColumn id="4" xr3:uid="{1AFAA7DF-90EE-493E-BDA4-145AAF485A57}" name="Limite de confiance inférieure" dataDxfId="22">
      <calculatedColumnFormula>C2-_xlfn.FORECAST.ETS.CONFINT(A2,$B$2:$B$16,$A$2:$A$16,0.95,1,1)</calculatedColumnFormula>
    </tableColumn>
    <tableColumn id="5" xr3:uid="{5490F5E6-4D31-44EF-BFF5-B605F99C50EF}" name="Limite de confiance supérieure" dataDxfId="21">
      <calculatedColumnFormula>C2+_xlfn.FORECAST.ETS.CONFINT(A2,$B$2:$B$16,$A$2:$A$16,0.95,1,1)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38F475-2ED6-4872-9DD2-3A33E4C7B9FA}" name="Tableau5" displayName="Tableau5" ref="A1:E51" totalsRowShown="0">
  <autoFilter ref="A1:E51" xr:uid="{3A38F475-2ED6-4872-9DD2-3A33E4C7B9FA}"/>
  <tableColumns count="5">
    <tableColumn id="1" xr3:uid="{6FCC771F-E1CA-44B4-AE7F-4C6C5BECE1C5}" name="Chronologie"/>
    <tableColumn id="2" xr3:uid="{BF1373F9-F978-44F5-A514-16BAAEEE6CA1}" name="Valeurs"/>
    <tableColumn id="3" xr3:uid="{D9B18A95-4235-4D1A-9C56-84A59A6DB789}" name="Prévision">
      <calculatedColumnFormula>_xlfn.FORECAST.ETS(A2,$B$2:$B$17,$A$2:$A$17,1,1)</calculatedColumnFormula>
    </tableColumn>
    <tableColumn id="4" xr3:uid="{2110CB86-69A2-4B44-9496-539438ED562C}" name="Limite de confiance inférieure" dataDxfId="20">
      <calculatedColumnFormula>C2-_xlfn.FORECAST.ETS.CONFINT(A2,$B$2:$B$17,$A$2:$A$17,0.95,1,1)</calculatedColumnFormula>
    </tableColumn>
    <tableColumn id="5" xr3:uid="{6DE46ABE-0924-43D4-9794-1B2B0A04C915}" name="Limite de confiance supérieure" dataDxfId="19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7C81F7-0DC9-4DB8-8A15-56FC36AEDEA0}" name="Tableau6" displayName="Tableau6" ref="A1:E55" totalsRowShown="0">
  <autoFilter ref="A1:E55" xr:uid="{E77C81F7-0DC9-4DB8-8A15-56FC36AEDEA0}"/>
  <tableColumns count="5">
    <tableColumn id="1" xr3:uid="{AF269368-5630-4137-AC85-F6A92BC38CE7}" name="Chronologie"/>
    <tableColumn id="2" xr3:uid="{85487B46-FA81-4792-864A-EB23909AED2B}" name="Valeurs"/>
    <tableColumn id="3" xr3:uid="{303A30DE-E1E5-4D51-861F-5A38FC4A7EC3}" name="Prévision">
      <calculatedColumnFormula>_xlfn.FORECAST.ETS(A2,$B$2:$B$17,$A$2:$A$17,1,1)</calculatedColumnFormula>
    </tableColumn>
    <tableColumn id="4" xr3:uid="{0891DDE2-2A65-41E1-86DE-C458360C40F1}" name="Limite de confiance inférieure" dataDxfId="18">
      <calculatedColumnFormula>C2-_xlfn.FORECAST.ETS.CONFINT(A2,$B$2:$B$17,$A$2:$A$17,0.95,1,1)</calculatedColumnFormula>
    </tableColumn>
    <tableColumn id="5" xr3:uid="{5DEE4A92-853D-43F4-9B9E-D55AC2A92302}" name="Limite de confiance supérieure" dataDxfId="17">
      <calculatedColumnFormula>C2+_xlfn.FORECAST.ETS.CONFINT(A2,$B$2:$B$17,$A$2:$A$17,0.95,1,1)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E7CA1-61B6-4115-BF60-516FE617173C}" name="Tableau7" displayName="Tableau7" ref="A1:E66" totalsRowShown="0">
  <autoFilter ref="A1:E66" xr:uid="{073E7CA1-61B6-4115-BF60-516FE617173C}"/>
  <tableColumns count="5">
    <tableColumn id="1" xr3:uid="{90B84DFF-B3D6-4800-A75D-F6EBA4AFD0A9}" name="Chronologie"/>
    <tableColumn id="2" xr3:uid="{0E65BA6C-5AB6-4687-BBC5-0DA997132CB9}" name="Valeurs"/>
    <tableColumn id="3" xr3:uid="{C58F4373-5808-44FF-B14E-AE6F2B2055CD}" name="Prévision">
      <calculatedColumnFormula>_xlfn.FORECAST.ETS(A2,$B$2:$B$16,$A$2:$A$16,8,1)</calculatedColumnFormula>
    </tableColumn>
    <tableColumn id="4" xr3:uid="{766CE3E9-A219-4ED0-8C02-B7C745FFCCFF}" name="Limite de confiance inférieure" dataDxfId="16">
      <calculatedColumnFormula>C2-_xlfn.FORECAST.ETS.CONFINT(A2,$B$2:$B$16,$A$2:$A$16,0.95,8,1)</calculatedColumnFormula>
    </tableColumn>
    <tableColumn id="5" xr3:uid="{79A193E8-8596-4B86-90BE-07293F85666F}" name="Limite de confiance supérieure" dataDxfId="15">
      <calculatedColumnFormula>C2+_xlfn.FORECAST.ETS.CONFINT(A2,$B$2:$B$16,$A$2:$A$16,0.95,8,1)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25D80E-256E-4113-BA75-71597CFC88B1}" name="Tableau8" displayName="Tableau8" ref="A1:E67" totalsRowShown="0">
  <autoFilter ref="A1:E67" xr:uid="{5125D80E-256E-4113-BA75-71597CFC88B1}"/>
  <tableColumns count="5">
    <tableColumn id="1" xr3:uid="{E3A1574B-7FD8-4570-8BE5-A1FEF10F8181}" name="Chronologie"/>
    <tableColumn id="2" xr3:uid="{FED29C8D-F368-48A4-9733-40680A3840AB}" name="Valeurs"/>
    <tableColumn id="3" xr3:uid="{0A8CAA4F-4AA7-45A3-B79E-F66F4EF0B7FD}" name="Prévision">
      <calculatedColumnFormula>_xlfn.FORECAST.ETS(A2,$B$2:$B$17,$A$2:$A$17,6,1)</calculatedColumnFormula>
    </tableColumn>
    <tableColumn id="4" xr3:uid="{CE05853D-A496-49D6-923D-AAFCD5AF98D2}" name="Limite de confiance inférieure" dataDxfId="14">
      <calculatedColumnFormula>C2-_xlfn.FORECAST.ETS.CONFINT(A2,$B$2:$B$17,$A$2:$A$17,0.95,6,1)</calculatedColumnFormula>
    </tableColumn>
    <tableColumn id="5" xr3:uid="{E6C54DF4-5376-46D2-A50B-A448575CF0C2}" name="Limite de confiance supérieure" dataDxfId="13">
      <calculatedColumnFormula>C2+_xlfn.FORECAST.ETS.CONFINT(A2,$B$2:$B$17,$A$2:$A$17,0.95,6,1)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3B6D4E-9B5D-4993-A846-6D9294A277BE}" name="Tableau9" displayName="Tableau9" ref="A1:E67" totalsRowShown="0">
  <autoFilter ref="A1:E67" xr:uid="{883B6D4E-9B5D-4993-A846-6D9294A277BE}"/>
  <tableColumns count="5">
    <tableColumn id="1" xr3:uid="{86EF134C-737F-4391-ACCB-183D53C91085}" name="Chronologie"/>
    <tableColumn id="2" xr3:uid="{2A40917D-926A-407F-A00C-267C7593E1E8}" name="Valeurs"/>
    <tableColumn id="3" xr3:uid="{97638653-76C2-4A52-A258-3C4936B7FDE3}" name="Prévision">
      <calculatedColumnFormula>_xlfn.FORECAST.ETS(A2,$B$2:$B$16,$A$2:$A$16,4,1)</calculatedColumnFormula>
    </tableColumn>
    <tableColumn id="4" xr3:uid="{21C4DB2D-D5E0-42BA-BED6-DAB411CEA71A}" name="Limite de confiance inférieure" dataDxfId="12">
      <calculatedColumnFormula>C2-_xlfn.FORECAST.ETS.CONFINT(A2,$B$2:$B$16,$A$2:$A$16,0.95,4,1)</calculatedColumnFormula>
    </tableColumn>
    <tableColumn id="5" xr3:uid="{FF2394BE-F2AB-4DAB-B9AC-B9A8F2CC1B2E}" name="Limite de confiance supérieure" dataDxfId="11">
      <calculatedColumnFormula>C2+_xlfn.FORECAST.ETS.CONFINT(A2,$B$2:$B$16,$A$2:$A$16,0.95,4,1)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3DCF6C-F4E7-4C9E-8CDB-B3AA486A00E8}" name="Tableau10" displayName="Tableau10" ref="A1:E69" totalsRowShown="0">
  <autoFilter ref="A1:E69" xr:uid="{D43DCF6C-F4E7-4C9E-8CDB-B3AA486A00E8}"/>
  <tableColumns count="5">
    <tableColumn id="1" xr3:uid="{4D0118C8-D7EF-42BD-9794-1E9626EA8D07}" name="Chronologie"/>
    <tableColumn id="2" xr3:uid="{BBAF3F2A-71EC-45EF-89C9-09B8F3C2D7C6}" name="Valeurs"/>
    <tableColumn id="3" xr3:uid="{746E8782-D00E-475D-BCD0-CA053A646CA3}" name="Prévision" dataDxfId="10">
      <calculatedColumnFormula>_xlfn.FORECAST.ETS(A2,$B$2:$B$8,$A$2:$A$8,2,1)</calculatedColumnFormula>
    </tableColumn>
    <tableColumn id="4" xr3:uid="{18D59751-EF36-43A9-B3F9-4DAFA188D5DE}" name="Limite de confiance inférieure" dataDxfId="9">
      <calculatedColumnFormula>C2-_xlfn.FORECAST.ETS.CONFINT(A2,$B$2:$B$8,$A$2:$A$8,0.95,2,1)</calculatedColumnFormula>
    </tableColumn>
    <tableColumn id="5" xr3:uid="{AFCC8E4A-B1BE-4F8D-9915-D35535A702C0}" name="Limite de confiance supérieure" dataDxfId="8">
      <calculatedColumnFormula>C2+_xlfn.FORECAST.ETS.CONFINT(A2,$B$2:$B$8,$A$2:$A$8,0.95,2,1)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FFCA49-8563-42DD-B9BC-578000F6382D}" name="Tableau11" displayName="Tableau11" ref="A1:E70" totalsRowShown="0">
  <autoFilter ref="A1:E70" xr:uid="{93FFCA49-8563-42DD-B9BC-578000F6382D}"/>
  <tableColumns count="5">
    <tableColumn id="1" xr3:uid="{D43200A2-00CF-439C-A086-958005BF2C03}" name="Chronologie"/>
    <tableColumn id="2" xr3:uid="{B836019B-3494-4D22-9D5D-B2C2502C1F17}" name="Valeurs"/>
    <tableColumn id="3" xr3:uid="{2A7E0C58-2C70-490E-B856-9BDAF279E0C7}" name="Prévision" dataDxfId="7">
      <calculatedColumnFormula>_xlfn.FORECAST.ETS(A2,$B$2:$B$19,$A$2:$A$19,3,1)</calculatedColumnFormula>
    </tableColumn>
    <tableColumn id="4" xr3:uid="{E54EE87A-6F7D-408A-AB8F-BCBC789E4522}" name="Limite de confiance inférieure" dataDxfId="6">
      <calculatedColumnFormula>C2-_xlfn.FORECAST.ETS.CONFINT(A2,$B$2:$B$19,$A$2:$A$19,0.95,3,1)</calculatedColumnFormula>
    </tableColumn>
    <tableColumn id="5" xr3:uid="{DB4171AF-F0FE-4FB3-9E47-4378C56A066D}" name="Limite de confiance supérieure" dataDxfId="5">
      <calculatedColumnFormula>C2+_xlfn.FORECAST.ETS.CONFINT(A2,$B$2:$B$19,$A$2:$A$19,0.95,3,1)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96A7E5-5318-4C4F-BC66-A993FFE9FA06}" name="Tableau12" displayName="Tableau12" ref="G1:H8" totalsRowShown="0">
  <autoFilter ref="G1:H8" xr:uid="{D096A7E5-5318-4C4F-BC66-A993FFE9FA06}"/>
  <tableColumns count="2">
    <tableColumn id="1" xr3:uid="{EE63DF14-AFC1-40F9-8B2C-F5E312DEC9D7}" name="Statistique"/>
    <tableColumn id="2" xr3:uid="{D8E1CADF-C0FA-476D-B206-D5BD544850C4}" name="Valeur" dataDxfId="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130E5A-C755-424F-8681-4F7C1F08CA1A}" name="Tableau13" displayName="Tableau13" ref="A1:E79" totalsRowShown="0">
  <autoFilter ref="A1:E79" xr:uid="{8C130E5A-C755-424F-8681-4F7C1F08CA1A}"/>
  <tableColumns count="5">
    <tableColumn id="1" xr3:uid="{A1129BAD-7EDF-4B0B-82AC-4E1449B2385E}" name="Chronologie"/>
    <tableColumn id="2" xr3:uid="{623EBA25-2D0A-44CF-8F12-F90E8E65E2A9}" name="Valeurs"/>
    <tableColumn id="3" xr3:uid="{D5064289-EF0F-488F-8E1C-781FC7738C98}" name="Prévision">
      <calculatedColumnFormula>_xlfn.FORECAST.ETS(A2,$B$2:$B$27,$A$2:$A$27,10,1)</calculatedColumnFormula>
    </tableColumn>
    <tableColumn id="4" xr3:uid="{D1AD79AF-6A82-49B9-A00B-E43F3A5D2A8F}" name="Limite de confiance inférieure" dataDxfId="3">
      <calculatedColumnFormula>C2-_xlfn.FORECAST.ETS.CONFINT(A2,$B$2:$B$27,$A$2:$A$27,0.95,10,1)</calculatedColumnFormula>
    </tableColumn>
    <tableColumn id="5" xr3:uid="{3416A7CA-0541-4540-9D85-ABAA7E036D10}" name="Limite de confiance supérieure" dataDxfId="2">
      <calculatedColumnFormula>C2+_xlfn.FORECAST.ETS.CONFINT(A2,$B$2:$B$27,$A$2:$A$27,0.95,10,1)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Evolium_2025">
      <a:dk1>
        <a:srgbClr val="000000"/>
      </a:dk1>
      <a:lt1>
        <a:srgbClr val="FFFFFF"/>
      </a:lt1>
      <a:dk2>
        <a:srgbClr val="24356A"/>
      </a:dk2>
      <a:lt2>
        <a:srgbClr val="A7DB66"/>
      </a:lt2>
      <a:accent1>
        <a:srgbClr val="117AFF"/>
      </a:accent1>
      <a:accent2>
        <a:srgbClr val="A7DB66"/>
      </a:accent2>
      <a:accent3>
        <a:srgbClr val="FFC000"/>
      </a:accent3>
      <a:accent4>
        <a:srgbClr val="000000"/>
      </a:accent4>
      <a:accent5>
        <a:srgbClr val="FFFFFF"/>
      </a:accent5>
      <a:accent6>
        <a:srgbClr val="24356A"/>
      </a:accent6>
      <a:hlink>
        <a:srgbClr val="117AFF"/>
      </a:hlink>
      <a:folHlink>
        <a:srgbClr val="117A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vese.ch/fr/pvtarif/" TargetMode="External"/><Relationship Id="rId1" Type="http://schemas.openxmlformats.org/officeDocument/2006/relationships/hyperlink" Target="https://www.prix-electricite.elcom.admin.ch/?period=2025" TargetMode="External"/><Relationship Id="rId4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DF1D-4810-48F2-A261-88BF951ED6AC}">
  <dimension ref="A1:E36"/>
  <sheetViews>
    <sheetView workbookViewId="0">
      <selection activeCell="I16" sqref="I16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2020</v>
      </c>
      <c r="B2" s="7">
        <v>14.440000000000001</v>
      </c>
    </row>
    <row r="3" spans="1:5" x14ac:dyDescent="0.35">
      <c r="A3">
        <v>2021</v>
      </c>
      <c r="B3" s="7">
        <v>12.391111111111115</v>
      </c>
    </row>
    <row r="4" spans="1:5" x14ac:dyDescent="0.35">
      <c r="A4">
        <v>2022</v>
      </c>
      <c r="B4" s="7">
        <v>12.639999999999999</v>
      </c>
    </row>
    <row r="5" spans="1:5" x14ac:dyDescent="0.35">
      <c r="A5">
        <v>2023</v>
      </c>
      <c r="B5" s="7">
        <v>14.516666666666667</v>
      </c>
    </row>
    <row r="6" spans="1:5" x14ac:dyDescent="0.35">
      <c r="A6">
        <v>2024</v>
      </c>
      <c r="B6" s="7">
        <v>19.392222222222216</v>
      </c>
    </row>
    <row r="7" spans="1:5" x14ac:dyDescent="0.35">
      <c r="A7">
        <v>2025</v>
      </c>
      <c r="B7" s="7">
        <v>18.827777777777779</v>
      </c>
      <c r="C7" s="7">
        <v>18.827777777777779</v>
      </c>
      <c r="D7" s="7">
        <v>18.827777777777779</v>
      </c>
      <c r="E7" s="7">
        <v>18.827777777777779</v>
      </c>
    </row>
    <row r="8" spans="1:5" x14ac:dyDescent="0.35">
      <c r="A8">
        <v>2026</v>
      </c>
      <c r="B8" s="7">
        <v>19.849851851851327</v>
      </c>
      <c r="C8" s="7">
        <f t="shared" ref="C8:C36" si="0">_xlfn.FORECAST.ETS(A8,$B$2:$B$7,$A$2:$A$7,1,1)</f>
        <v>20.662538727659761</v>
      </c>
      <c r="D8" s="7">
        <f t="shared" ref="D8:D36" si="1">C8-_xlfn.FORECAST.ETS.CONFINT(A8,$B$2:$B$7,$A$2:$A$7,0.95,1,1)</f>
        <v>16.277283065762536</v>
      </c>
      <c r="E8" s="7">
        <f t="shared" ref="E8:E36" si="2">C8+_xlfn.FORECAST.ETS.CONFINT(A8,$B$2:$B$7,$A$2:$A$7,0.95,1,1)</f>
        <v>25.047794389556987</v>
      </c>
    </row>
    <row r="9" spans="1:5" x14ac:dyDescent="0.35">
      <c r="A9">
        <v>2027</v>
      </c>
      <c r="B9" s="7">
        <v>21.130391534391038</v>
      </c>
      <c r="C9" s="7">
        <f t="shared" si="0"/>
        <v>22.182788236122679</v>
      </c>
      <c r="D9" s="7">
        <f t="shared" si="1"/>
        <v>16.698586383267276</v>
      </c>
      <c r="E9" s="7">
        <f t="shared" si="2"/>
        <v>27.666990088978082</v>
      </c>
    </row>
    <row r="10" spans="1:5" x14ac:dyDescent="0.35">
      <c r="A10">
        <v>2028</v>
      </c>
      <c r="B10" s="7">
        <v>22.410931216930749</v>
      </c>
      <c r="C10" s="7">
        <f t="shared" si="0"/>
        <v>23.703037744585593</v>
      </c>
      <c r="D10" s="7">
        <f t="shared" si="1"/>
        <v>17.303711522415355</v>
      </c>
      <c r="E10" s="7">
        <f t="shared" si="2"/>
        <v>30.102363966755831</v>
      </c>
    </row>
    <row r="11" spans="1:5" x14ac:dyDescent="0.35">
      <c r="A11">
        <v>2029</v>
      </c>
      <c r="B11" s="7">
        <v>23.69147089947046</v>
      </c>
      <c r="C11" s="7">
        <f t="shared" si="0"/>
        <v>25.223287253048511</v>
      </c>
      <c r="D11" s="7">
        <f t="shared" si="1"/>
        <v>18.02223010247576</v>
      </c>
      <c r="E11" s="7">
        <f t="shared" si="2"/>
        <v>32.424344403621262</v>
      </c>
    </row>
    <row r="12" spans="1:5" x14ac:dyDescent="0.35">
      <c r="A12">
        <v>2030</v>
      </c>
      <c r="B12" s="7">
        <v>25.091470899470458</v>
      </c>
      <c r="C12" s="7">
        <f t="shared" si="0"/>
        <v>26.743536761511429</v>
      </c>
      <c r="D12" s="7">
        <f t="shared" si="1"/>
        <v>18.819645521219503</v>
      </c>
      <c r="E12" s="7">
        <f t="shared" si="2"/>
        <v>34.667428001803358</v>
      </c>
    </row>
    <row r="13" spans="1:5" x14ac:dyDescent="0.35">
      <c r="A13">
        <v>2031</v>
      </c>
      <c r="B13" s="7">
        <v>26.291470899470458</v>
      </c>
      <c r="C13" s="7">
        <f t="shared" si="0"/>
        <v>28.263786269974347</v>
      </c>
      <c r="D13" s="7">
        <f t="shared" si="1"/>
        <v>19.676010104681577</v>
      </c>
      <c r="E13" s="7">
        <f t="shared" si="2"/>
        <v>36.851562435267113</v>
      </c>
    </row>
    <row r="14" spans="1:5" x14ac:dyDescent="0.35">
      <c r="A14">
        <v>2032</v>
      </c>
      <c r="B14" s="7">
        <v>27.391470899470459</v>
      </c>
      <c r="C14" s="7">
        <f t="shared" si="0"/>
        <v>29.784035778437264</v>
      </c>
      <c r="D14" s="7">
        <f t="shared" si="1"/>
        <v>20.578558942426227</v>
      </c>
      <c r="E14" s="7">
        <f t="shared" si="2"/>
        <v>38.989512614448302</v>
      </c>
    </row>
    <row r="15" spans="1:5" x14ac:dyDescent="0.35">
      <c r="A15">
        <v>2033</v>
      </c>
      <c r="B15" s="7">
        <v>28.291470899470458</v>
      </c>
      <c r="C15" s="7">
        <f t="shared" si="0"/>
        <v>31.304285286900182</v>
      </c>
      <c r="D15" s="7">
        <f t="shared" si="1"/>
        <v>21.518540359281992</v>
      </c>
      <c r="E15" s="7">
        <f t="shared" si="2"/>
        <v>41.090030214518372</v>
      </c>
    </row>
    <row r="16" spans="1:5" x14ac:dyDescent="0.35">
      <c r="A16">
        <v>2034</v>
      </c>
      <c r="B16" s="7">
        <v>29.091470899470458</v>
      </c>
      <c r="C16" s="7">
        <f t="shared" si="0"/>
        <v>32.8245347953631</v>
      </c>
      <c r="D16" s="7">
        <f t="shared" si="1"/>
        <v>22.489645441513535</v>
      </c>
      <c r="E16" s="7">
        <f t="shared" si="2"/>
        <v>43.159424149212668</v>
      </c>
    </row>
    <row r="17" spans="1:5" x14ac:dyDescent="0.35">
      <c r="A17">
        <v>2035</v>
      </c>
      <c r="B17" s="7">
        <v>29.561470899470457</v>
      </c>
      <c r="C17" s="7">
        <f t="shared" si="0"/>
        <v>34.344784303826017</v>
      </c>
      <c r="D17" s="7">
        <f t="shared" si="1"/>
        <v>23.487148983785374</v>
      </c>
      <c r="E17" s="7">
        <f t="shared" si="2"/>
        <v>45.20241962386666</v>
      </c>
    </row>
    <row r="18" spans="1:5" x14ac:dyDescent="0.35">
      <c r="A18">
        <v>2036</v>
      </c>
      <c r="B18" s="7">
        <v>29.911470899470459</v>
      </c>
      <c r="C18" s="7">
        <f t="shared" si="0"/>
        <v>35.865033812288928</v>
      </c>
      <c r="D18" s="7">
        <f t="shared" si="1"/>
        <v>24.507403662940753</v>
      </c>
      <c r="E18" s="7">
        <f t="shared" si="2"/>
        <v>47.222663961637103</v>
      </c>
    </row>
    <row r="19" spans="1:5" x14ac:dyDescent="0.35">
      <c r="A19">
        <v>2037</v>
      </c>
      <c r="C19" s="7">
        <f t="shared" si="0"/>
        <v>37.385283320751853</v>
      </c>
      <c r="D19" s="7">
        <f t="shared" si="1"/>
        <v>25.547524663961582</v>
      </c>
      <c r="E19" s="7">
        <f t="shared" si="2"/>
        <v>49.223041977542124</v>
      </c>
    </row>
    <row r="20" spans="1:5" x14ac:dyDescent="0.35">
      <c r="A20">
        <v>2038</v>
      </c>
      <c r="C20" s="7">
        <f t="shared" si="0"/>
        <v>38.905532829214764</v>
      </c>
      <c r="D20" s="7">
        <f t="shared" si="1"/>
        <v>26.605183833148846</v>
      </c>
      <c r="E20" s="7">
        <f t="shared" si="2"/>
        <v>51.205881825280684</v>
      </c>
    </row>
    <row r="21" spans="1:5" x14ac:dyDescent="0.35">
      <c r="A21">
        <v>2039</v>
      </c>
      <c r="C21" s="7">
        <f t="shared" si="0"/>
        <v>40.425782337677681</v>
      </c>
      <c r="D21" s="7">
        <f t="shared" si="1"/>
        <v>27.678470178005064</v>
      </c>
      <c r="E21" s="7">
        <f t="shared" si="2"/>
        <v>53.173094497350299</v>
      </c>
    </row>
    <row r="22" spans="1:5" x14ac:dyDescent="0.35">
      <c r="A22">
        <v>2040</v>
      </c>
      <c r="C22" s="7">
        <f t="shared" si="0"/>
        <v>41.946031846140599</v>
      </c>
      <c r="D22" s="7">
        <f t="shared" si="1"/>
        <v>28.765792315286077</v>
      </c>
      <c r="E22" s="7">
        <f t="shared" si="2"/>
        <v>55.12627137699512</v>
      </c>
    </row>
    <row r="23" spans="1:5" x14ac:dyDescent="0.35">
      <c r="A23">
        <v>2041</v>
      </c>
      <c r="C23" s="7">
        <f t="shared" si="0"/>
        <v>43.466281354603517</v>
      </c>
      <c r="D23" s="7">
        <f t="shared" si="1"/>
        <v>29.865808411737053</v>
      </c>
      <c r="E23" s="7">
        <f t="shared" si="2"/>
        <v>57.066754297469984</v>
      </c>
    </row>
    <row r="24" spans="1:5" x14ac:dyDescent="0.35">
      <c r="A24">
        <v>2042</v>
      </c>
      <c r="C24" s="7">
        <f t="shared" si="0"/>
        <v>44.986530863066434</v>
      </c>
      <c r="D24" s="7">
        <f t="shared" si="1"/>
        <v>30.977374703829025</v>
      </c>
      <c r="E24" s="7">
        <f t="shared" si="2"/>
        <v>58.995687022303841</v>
      </c>
    </row>
    <row r="25" spans="1:5" x14ac:dyDescent="0.35">
      <c r="A25">
        <v>2043</v>
      </c>
      <c r="C25" s="7">
        <f t="shared" si="0"/>
        <v>46.506780371529352</v>
      </c>
      <c r="D25" s="7">
        <f t="shared" si="1"/>
        <v>32.099506908989511</v>
      </c>
      <c r="E25" s="7">
        <f t="shared" si="2"/>
        <v>60.914053834069193</v>
      </c>
    </row>
    <row r="26" spans="1:5" x14ac:dyDescent="0.35">
      <c r="A26">
        <v>2044</v>
      </c>
      <c r="C26" s="7">
        <f t="shared" si="0"/>
        <v>48.02702987999227</v>
      </c>
      <c r="D26" s="7">
        <f t="shared" si="1"/>
        <v>33.231350790403553</v>
      </c>
      <c r="E26" s="7">
        <f t="shared" si="2"/>
        <v>62.822708969580987</v>
      </c>
    </row>
    <row r="27" spans="1:5" x14ac:dyDescent="0.35">
      <c r="A27">
        <v>2045</v>
      </c>
      <c r="C27" s="7">
        <f t="shared" si="0"/>
        <v>49.547279388455181</v>
      </c>
      <c r="D27" s="7">
        <f t="shared" si="1"/>
        <v>34.372159354402775</v>
      </c>
      <c r="E27" s="7">
        <f t="shared" si="2"/>
        <v>64.722399422507578</v>
      </c>
    </row>
    <row r="28" spans="1:5" x14ac:dyDescent="0.35">
      <c r="A28">
        <v>2046</v>
      </c>
      <c r="C28" s="7">
        <f t="shared" si="0"/>
        <v>51.067528896918105</v>
      </c>
      <c r="D28" s="7">
        <f t="shared" si="1"/>
        <v>35.52127494097244</v>
      </c>
      <c r="E28" s="7">
        <f t="shared" si="2"/>
        <v>66.613782852863764</v>
      </c>
    </row>
    <row r="29" spans="1:5" x14ac:dyDescent="0.35">
      <c r="A29">
        <v>2047</v>
      </c>
      <c r="C29" s="7">
        <f t="shared" si="0"/>
        <v>52.587778405381016</v>
      </c>
      <c r="D29" s="7">
        <f t="shared" si="1"/>
        <v>36.678114982555243</v>
      </c>
      <c r="E29" s="7">
        <f t="shared" si="2"/>
        <v>68.497441828206789</v>
      </c>
    </row>
    <row r="30" spans="1:5" x14ac:dyDescent="0.35">
      <c r="A30">
        <v>2048</v>
      </c>
      <c r="C30" s="7">
        <f t="shared" si="0"/>
        <v>54.108027913843941</v>
      </c>
      <c r="D30" s="7">
        <f t="shared" si="1"/>
        <v>37.842160552914038</v>
      </c>
      <c r="E30" s="7">
        <f t="shared" si="2"/>
        <v>70.373895274773844</v>
      </c>
    </row>
    <row r="31" spans="1:5" x14ac:dyDescent="0.35">
      <c r="A31">
        <v>2049</v>
      </c>
      <c r="C31" s="7">
        <f t="shared" si="0"/>
        <v>55.628277422306851</v>
      </c>
      <c r="D31" s="7">
        <f t="shared" si="1"/>
        <v>39.012947065946655</v>
      </c>
      <c r="E31" s="7">
        <f t="shared" si="2"/>
        <v>72.243607778667041</v>
      </c>
    </row>
    <row r="32" spans="1:5" x14ac:dyDescent="0.35">
      <c r="A32">
        <v>2050</v>
      </c>
      <c r="C32" s="7">
        <f t="shared" si="0"/>
        <v>57.148526930769776</v>
      </c>
      <c r="D32" s="7">
        <f t="shared" si="1"/>
        <v>40.19005665095402</v>
      </c>
      <c r="E32" s="7">
        <f t="shared" si="2"/>
        <v>74.106997210585533</v>
      </c>
    </row>
    <row r="33" spans="1:5" x14ac:dyDescent="0.35">
      <c r="A33">
        <v>2051</v>
      </c>
      <c r="C33" s="7">
        <f t="shared" si="0"/>
        <v>58.668776439232687</v>
      </c>
      <c r="D33" s="7">
        <f t="shared" si="1"/>
        <v>41.37311184935561</v>
      </c>
      <c r="E33" s="7">
        <f t="shared" si="2"/>
        <v>75.964441029109764</v>
      </c>
    </row>
    <row r="34" spans="1:5" x14ac:dyDescent="0.35">
      <c r="A34">
        <v>2052</v>
      </c>
      <c r="C34" s="7">
        <f t="shared" si="0"/>
        <v>60.189025947695598</v>
      </c>
      <c r="D34" s="7">
        <f t="shared" si="1"/>
        <v>42.561770363393194</v>
      </c>
      <c r="E34" s="7">
        <f t="shared" si="2"/>
        <v>77.816281531998001</v>
      </c>
    </row>
    <row r="35" spans="1:5" x14ac:dyDescent="0.35">
      <c r="A35">
        <v>2053</v>
      </c>
      <c r="C35" s="7">
        <f t="shared" si="0"/>
        <v>61.709275456158522</v>
      </c>
      <c r="D35" s="7">
        <f t="shared" si="1"/>
        <v>43.755720649973057</v>
      </c>
      <c r="E35" s="7">
        <f t="shared" si="2"/>
        <v>79.662830262343988</v>
      </c>
    </row>
    <row r="36" spans="1:5" x14ac:dyDescent="0.35">
      <c r="A36">
        <v>2054</v>
      </c>
      <c r="C36" s="7">
        <f t="shared" si="0"/>
        <v>63.229524964621433</v>
      </c>
      <c r="D36" s="7">
        <f t="shared" si="1"/>
        <v>44.954678199200451</v>
      </c>
      <c r="E36" s="7">
        <f t="shared" si="2"/>
        <v>81.504371730042408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2F15-9179-4364-BD76-75CEBF1115D2}">
  <dimension ref="A1:E19"/>
  <sheetViews>
    <sheetView workbookViewId="0">
      <selection activeCell="R48" sqref="R48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2025</v>
      </c>
      <c r="B2" s="7">
        <v>18.827777777777779</v>
      </c>
    </row>
    <row r="3" spans="1:5" x14ac:dyDescent="0.35">
      <c r="A3">
        <v>2026</v>
      </c>
      <c r="B3" s="7">
        <v>19.849851851851327</v>
      </c>
    </row>
    <row r="4" spans="1:5" x14ac:dyDescent="0.35">
      <c r="A4">
        <v>2027</v>
      </c>
      <c r="B4" s="7">
        <v>21.130391534391038</v>
      </c>
    </row>
    <row r="5" spans="1:5" x14ac:dyDescent="0.35">
      <c r="A5">
        <v>2028</v>
      </c>
      <c r="B5" s="7">
        <v>22.410931216930749</v>
      </c>
    </row>
    <row r="6" spans="1:5" x14ac:dyDescent="0.35">
      <c r="A6">
        <v>2029</v>
      </c>
      <c r="B6" s="7">
        <v>23.69147089947046</v>
      </c>
    </row>
    <row r="7" spans="1:5" x14ac:dyDescent="0.35">
      <c r="A7">
        <v>2030</v>
      </c>
      <c r="B7" s="7">
        <v>25.091470899470458</v>
      </c>
    </row>
    <row r="8" spans="1:5" x14ac:dyDescent="0.35">
      <c r="A8">
        <v>2031</v>
      </c>
      <c r="B8" s="7">
        <v>26.291470899470458</v>
      </c>
    </row>
    <row r="9" spans="1:5" x14ac:dyDescent="0.35">
      <c r="A9">
        <v>2032</v>
      </c>
      <c r="B9" s="7">
        <v>27.391470899470459</v>
      </c>
    </row>
    <row r="10" spans="1:5" x14ac:dyDescent="0.35">
      <c r="A10">
        <v>2033</v>
      </c>
      <c r="B10" s="7">
        <v>28.291470899470458</v>
      </c>
    </row>
    <row r="11" spans="1:5" x14ac:dyDescent="0.35">
      <c r="A11">
        <v>2034</v>
      </c>
      <c r="B11" s="7">
        <v>29.091470899470458</v>
      </c>
    </row>
    <row r="12" spans="1:5" x14ac:dyDescent="0.35">
      <c r="A12">
        <v>2035</v>
      </c>
      <c r="B12" s="7">
        <v>29.561470899470457</v>
      </c>
    </row>
    <row r="13" spans="1:5" x14ac:dyDescent="0.35">
      <c r="A13">
        <v>2036</v>
      </c>
      <c r="B13" s="7">
        <v>29.911470899470459</v>
      </c>
    </row>
    <row r="14" spans="1:5" x14ac:dyDescent="0.35">
      <c r="A14">
        <v>2037</v>
      </c>
      <c r="B14" s="7">
        <v>30.098613756613315</v>
      </c>
    </row>
    <row r="15" spans="1:5" x14ac:dyDescent="0.35">
      <c r="A15">
        <v>2038</v>
      </c>
      <c r="B15" s="7">
        <v>30.110399470899033</v>
      </c>
      <c r="C15" s="7">
        <v>30.110399470899033</v>
      </c>
      <c r="D15" s="7">
        <v>30.110399470899033</v>
      </c>
      <c r="E15" s="7">
        <v>30.110399470899033</v>
      </c>
    </row>
    <row r="16" spans="1:5" x14ac:dyDescent="0.35">
      <c r="A16">
        <v>2039</v>
      </c>
      <c r="C16" s="7">
        <f>_xlfn.FORECAST.ETS(A16,$B$2:$B$15,$A$2:$A$15,1,1)</f>
        <v>30.14412346285971</v>
      </c>
      <c r="D16" s="7">
        <f>C16-_xlfn.FORECAST.ETS.CONFINT(A16,$B$2:$B$15,$A$2:$A$15,0.95,1,1)</f>
        <v>29.805611091231288</v>
      </c>
      <c r="E16" s="7">
        <f>C16+_xlfn.FORECAST.ETS.CONFINT(A16,$B$2:$B$15,$A$2:$A$15,0.95,1,1)</f>
        <v>30.482635834488132</v>
      </c>
    </row>
    <row r="17" spans="1:5" x14ac:dyDescent="0.35">
      <c r="A17">
        <v>2040</v>
      </c>
      <c r="C17" s="7">
        <f>_xlfn.FORECAST.ETS(A17,$B$2:$B$15,$A$2:$A$15,1,1)</f>
        <v>30.158750402954574</v>
      </c>
      <c r="D17" s="7">
        <f>C17-_xlfn.FORECAST.ETS.CONFINT(A17,$B$2:$B$15,$A$2:$A$15,0.95,1,1)</f>
        <v>29.462006661325805</v>
      </c>
      <c r="E17" s="7">
        <f>C17+_xlfn.FORECAST.ETS.CONFINT(A17,$B$2:$B$15,$A$2:$A$15,0.95,1,1)</f>
        <v>30.855494144583343</v>
      </c>
    </row>
    <row r="18" spans="1:5" x14ac:dyDescent="0.35">
      <c r="A18">
        <v>2041</v>
      </c>
      <c r="C18" s="7">
        <f>_xlfn.FORECAST.ETS(A18,$B$2:$B$15,$A$2:$A$15,1,1)</f>
        <v>30.173377343049435</v>
      </c>
      <c r="D18" s="7">
        <f>C18-_xlfn.FORECAST.ETS.CONFINT(A18,$B$2:$B$15,$A$2:$A$15,0.95,1,1)</f>
        <v>29.02464744320875</v>
      </c>
      <c r="E18" s="7">
        <f>C18+_xlfn.FORECAST.ETS.CONFINT(A18,$B$2:$B$15,$A$2:$A$15,0.95,1,1)</f>
        <v>31.322107242890119</v>
      </c>
    </row>
    <row r="19" spans="1:5" x14ac:dyDescent="0.35">
      <c r="A19">
        <v>2042</v>
      </c>
      <c r="C19" s="7">
        <f>_xlfn.FORECAST.ETS(A19,$B$2:$B$15,$A$2:$A$15,1,1)</f>
        <v>30.188004283144299</v>
      </c>
      <c r="D19" s="7">
        <f>C19-_xlfn.FORECAST.ETS.CONFINT(A19,$B$2:$B$15,$A$2:$A$15,0.95,1,1)</f>
        <v>28.514026754546865</v>
      </c>
      <c r="E19" s="7">
        <f>C19+_xlfn.FORECAST.ETS.CONFINT(A19,$B$2:$B$15,$A$2:$A$15,0.95,1,1)</f>
        <v>31.861981811741732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5BF3-1994-4B90-8EDA-0C31690C5BFC}">
  <dimension ref="A1:E37"/>
  <sheetViews>
    <sheetView workbookViewId="0">
      <selection activeCell="R10" sqref="R10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2025</v>
      </c>
      <c r="B2" s="7">
        <v>18.827777777777779</v>
      </c>
    </row>
    <row r="3" spans="1:5" x14ac:dyDescent="0.35">
      <c r="A3">
        <v>2026</v>
      </c>
      <c r="B3" s="7">
        <v>19.849851851851327</v>
      </c>
    </row>
    <row r="4" spans="1:5" x14ac:dyDescent="0.35">
      <c r="A4">
        <v>2027</v>
      </c>
      <c r="B4" s="7">
        <v>21.130391534391038</v>
      </c>
    </row>
    <row r="5" spans="1:5" x14ac:dyDescent="0.35">
      <c r="A5">
        <v>2028</v>
      </c>
      <c r="B5" s="7">
        <v>22.410931216930749</v>
      </c>
    </row>
    <row r="6" spans="1:5" x14ac:dyDescent="0.35">
      <c r="A6">
        <v>2029</v>
      </c>
      <c r="B6" s="7">
        <v>23.69147089947046</v>
      </c>
    </row>
    <row r="7" spans="1:5" x14ac:dyDescent="0.35">
      <c r="A7">
        <v>2030</v>
      </c>
      <c r="B7" s="7">
        <v>25.091470899470458</v>
      </c>
    </row>
    <row r="8" spans="1:5" x14ac:dyDescent="0.35">
      <c r="A8">
        <v>2031</v>
      </c>
      <c r="B8" s="7">
        <v>26.291470899470458</v>
      </c>
    </row>
    <row r="9" spans="1:5" x14ac:dyDescent="0.35">
      <c r="A9">
        <v>2032</v>
      </c>
      <c r="B9" s="7">
        <v>27.391470899470459</v>
      </c>
    </row>
    <row r="10" spans="1:5" x14ac:dyDescent="0.35">
      <c r="A10">
        <v>2033</v>
      </c>
      <c r="B10" s="7">
        <v>28.291470899470458</v>
      </c>
    </row>
    <row r="11" spans="1:5" x14ac:dyDescent="0.35">
      <c r="A11">
        <v>2034</v>
      </c>
      <c r="B11" s="7">
        <v>29.091470899470458</v>
      </c>
    </row>
    <row r="12" spans="1:5" x14ac:dyDescent="0.35">
      <c r="A12">
        <v>2035</v>
      </c>
      <c r="B12" s="7">
        <v>29.561470899470457</v>
      </c>
    </row>
    <row r="13" spans="1:5" x14ac:dyDescent="0.35">
      <c r="A13">
        <v>2036</v>
      </c>
      <c r="B13" s="7">
        <v>29.911470899470459</v>
      </c>
    </row>
    <row r="14" spans="1:5" x14ac:dyDescent="0.35">
      <c r="A14">
        <v>2037</v>
      </c>
      <c r="B14" s="7">
        <v>30.098613756613315</v>
      </c>
    </row>
    <row r="15" spans="1:5" x14ac:dyDescent="0.35">
      <c r="A15">
        <v>2038</v>
      </c>
      <c r="B15" s="7">
        <v>30.110399470899033</v>
      </c>
      <c r="C15" s="7">
        <v>30.110399470899033</v>
      </c>
      <c r="D15" s="7">
        <v>30.110399470899033</v>
      </c>
      <c r="E15" s="7">
        <v>30.110399470899033</v>
      </c>
    </row>
    <row r="16" spans="1:5" x14ac:dyDescent="0.35">
      <c r="A16">
        <v>2039</v>
      </c>
      <c r="C16" s="7">
        <f t="shared" ref="C16:C37" si="0">_xlfn.FORECAST.ETS(A16,$B$2:$B$15,$A$2:$A$15,1,1)</f>
        <v>30.14412346285971</v>
      </c>
      <c r="D16" s="7">
        <f t="shared" ref="D16:D37" si="1">C16-_xlfn.FORECAST.ETS.CONFINT(A16,$B$2:$B$15,$A$2:$A$15,0.95,1,1)</f>
        <v>29.805611091231288</v>
      </c>
      <c r="E16" s="7">
        <f t="shared" ref="E16:E37" si="2">C16+_xlfn.FORECAST.ETS.CONFINT(A16,$B$2:$B$15,$A$2:$A$15,0.95,1,1)</f>
        <v>30.482635834488132</v>
      </c>
    </row>
    <row r="17" spans="1:5" x14ac:dyDescent="0.35">
      <c r="A17">
        <v>2040</v>
      </c>
      <c r="C17" s="7">
        <f t="shared" si="0"/>
        <v>30.158750402954574</v>
      </c>
      <c r="D17" s="7">
        <f t="shared" si="1"/>
        <v>29.462006661325805</v>
      </c>
      <c r="E17" s="7">
        <f t="shared" si="2"/>
        <v>30.855494144583343</v>
      </c>
    </row>
    <row r="18" spans="1:5" x14ac:dyDescent="0.35">
      <c r="A18">
        <v>2041</v>
      </c>
      <c r="C18" s="7">
        <f t="shared" si="0"/>
        <v>30.173377343049435</v>
      </c>
      <c r="D18" s="7">
        <f t="shared" si="1"/>
        <v>29.02464744320875</v>
      </c>
      <c r="E18" s="7">
        <f t="shared" si="2"/>
        <v>31.322107242890119</v>
      </c>
    </row>
    <row r="19" spans="1:5" x14ac:dyDescent="0.35">
      <c r="A19">
        <v>2042</v>
      </c>
      <c r="C19" s="7">
        <f t="shared" si="0"/>
        <v>30.188004283144299</v>
      </c>
      <c r="D19" s="7">
        <f t="shared" si="1"/>
        <v>28.514026754546865</v>
      </c>
      <c r="E19" s="7">
        <f t="shared" si="2"/>
        <v>31.861981811741732</v>
      </c>
    </row>
    <row r="20" spans="1:5" x14ac:dyDescent="0.35">
      <c r="A20">
        <v>2043</v>
      </c>
      <c r="C20" s="7">
        <f t="shared" si="0"/>
        <v>30.202631223239162</v>
      </c>
      <c r="D20" s="7">
        <f t="shared" si="1"/>
        <v>27.940212714536877</v>
      </c>
      <c r="E20" s="7">
        <f t="shared" si="2"/>
        <v>32.465049731941448</v>
      </c>
    </row>
    <row r="21" spans="1:5" x14ac:dyDescent="0.35">
      <c r="A21">
        <v>2044</v>
      </c>
      <c r="C21" s="7">
        <f t="shared" si="0"/>
        <v>30.217258163334026</v>
      </c>
      <c r="D21" s="7">
        <f t="shared" si="1"/>
        <v>27.309713644976174</v>
      </c>
      <c r="E21" s="7">
        <f t="shared" si="2"/>
        <v>33.124802681691882</v>
      </c>
    </row>
    <row r="22" spans="1:5" x14ac:dyDescent="0.35">
      <c r="A22">
        <v>2045</v>
      </c>
      <c r="C22" s="7">
        <f t="shared" si="0"/>
        <v>30.23188510342889</v>
      </c>
      <c r="D22" s="7">
        <f t="shared" si="1"/>
        <v>26.627268877528028</v>
      </c>
      <c r="E22" s="7">
        <f t="shared" si="2"/>
        <v>33.836501329329757</v>
      </c>
    </row>
    <row r="23" spans="1:5" x14ac:dyDescent="0.35">
      <c r="A23">
        <v>2046</v>
      </c>
      <c r="C23" s="7">
        <f t="shared" si="0"/>
        <v>30.246512043523754</v>
      </c>
      <c r="D23" s="7">
        <f t="shared" si="1"/>
        <v>25.896559049003017</v>
      </c>
      <c r="E23" s="7">
        <f t="shared" si="2"/>
        <v>34.596465038044492</v>
      </c>
    </row>
    <row r="24" spans="1:5" x14ac:dyDescent="0.35">
      <c r="A24">
        <v>2047</v>
      </c>
      <c r="C24" s="7">
        <f t="shared" si="0"/>
        <v>30.261138983618615</v>
      </c>
      <c r="D24" s="7">
        <f t="shared" si="1"/>
        <v>25.120561350861234</v>
      </c>
      <c r="E24" s="7">
        <f t="shared" si="2"/>
        <v>35.401716616376</v>
      </c>
    </row>
    <row r="25" spans="1:5" x14ac:dyDescent="0.35">
      <c r="A25">
        <v>2048</v>
      </c>
      <c r="C25" s="7">
        <f t="shared" si="0"/>
        <v>30.275765923713479</v>
      </c>
      <c r="D25" s="7">
        <f t="shared" si="1"/>
        <v>24.301753479446162</v>
      </c>
      <c r="E25" s="7">
        <f t="shared" si="2"/>
        <v>36.249778367980795</v>
      </c>
    </row>
    <row r="26" spans="1:5" x14ac:dyDescent="0.35">
      <c r="A26">
        <v>2049</v>
      </c>
      <c r="C26" s="7">
        <f t="shared" si="0"/>
        <v>30.290392863808343</v>
      </c>
      <c r="D26" s="7">
        <f t="shared" si="1"/>
        <v>23.442241695153989</v>
      </c>
      <c r="E26" s="7">
        <f t="shared" si="2"/>
        <v>37.138544032462697</v>
      </c>
    </row>
    <row r="27" spans="1:5" x14ac:dyDescent="0.35">
      <c r="A27">
        <v>2050</v>
      </c>
      <c r="C27" s="7">
        <f t="shared" si="0"/>
        <v>30.305019803903207</v>
      </c>
      <c r="D27" s="7">
        <f t="shared" si="1"/>
        <v>22.543846429439427</v>
      </c>
      <c r="E27" s="7">
        <f t="shared" si="2"/>
        <v>38.066193178366987</v>
      </c>
    </row>
    <row r="28" spans="1:5" x14ac:dyDescent="0.35">
      <c r="A28">
        <v>2051</v>
      </c>
      <c r="C28" s="7">
        <f t="shared" si="0"/>
        <v>30.319646743998071</v>
      </c>
      <c r="D28" s="7">
        <f t="shared" si="1"/>
        <v>21.608162234448194</v>
      </c>
      <c r="E28" s="7">
        <f t="shared" si="2"/>
        <v>39.031131253547947</v>
      </c>
    </row>
    <row r="29" spans="1:5" x14ac:dyDescent="0.35">
      <c r="A29">
        <v>2052</v>
      </c>
      <c r="C29" s="7">
        <f t="shared" si="0"/>
        <v>30.334273684092931</v>
      </c>
      <c r="D29" s="7">
        <f t="shared" si="1"/>
        <v>20.636601304583287</v>
      </c>
      <c r="E29" s="7">
        <f t="shared" si="2"/>
        <v>40.031946063602575</v>
      </c>
    </row>
    <row r="30" spans="1:5" x14ac:dyDescent="0.35">
      <c r="A30">
        <v>2053</v>
      </c>
      <c r="C30" s="7">
        <f t="shared" si="0"/>
        <v>30.348900624187795</v>
      </c>
      <c r="D30" s="7">
        <f t="shared" si="1"/>
        <v>19.630425997373948</v>
      </c>
      <c r="E30" s="7">
        <f t="shared" si="2"/>
        <v>41.067375251001643</v>
      </c>
    </row>
    <row r="31" spans="1:5" x14ac:dyDescent="0.35">
      <c r="A31">
        <v>2054</v>
      </c>
      <c r="C31" s="7">
        <f t="shared" si="0"/>
        <v>30.363527564282659</v>
      </c>
      <c r="D31" s="7">
        <f t="shared" si="1"/>
        <v>18.590773718524758</v>
      </c>
      <c r="E31" s="7">
        <f t="shared" si="2"/>
        <v>42.13628141004056</v>
      </c>
    </row>
    <row r="32" spans="1:5" x14ac:dyDescent="0.35">
      <c r="A32">
        <v>2055</v>
      </c>
      <c r="C32" s="7">
        <f t="shared" si="0"/>
        <v>30.378154504377523</v>
      </c>
      <c r="D32" s="7">
        <f t="shared" si="1"/>
        <v>17.518676347842309</v>
      </c>
      <c r="E32" s="7">
        <f t="shared" si="2"/>
        <v>43.237632660912737</v>
      </c>
    </row>
    <row r="33" spans="1:5" x14ac:dyDescent="0.35">
      <c r="A33">
        <v>2056</v>
      </c>
      <c r="C33" s="7">
        <f t="shared" si="0"/>
        <v>30.392781444472387</v>
      </c>
      <c r="D33" s="7">
        <f t="shared" si="1"/>
        <v>16.415075664227725</v>
      </c>
      <c r="E33" s="7">
        <f t="shared" si="2"/>
        <v>44.370487224717053</v>
      </c>
    </row>
    <row r="34" spans="1:5" x14ac:dyDescent="0.35">
      <c r="A34">
        <v>2057</v>
      </c>
      <c r="C34" s="7">
        <f t="shared" si="0"/>
        <v>30.407408384567251</v>
      </c>
      <c r="D34" s="7">
        <f t="shared" si="1"/>
        <v>15.280835775695142</v>
      </c>
      <c r="E34" s="7">
        <f t="shared" si="2"/>
        <v>45.533980993439357</v>
      </c>
    </row>
    <row r="35" spans="1:5" x14ac:dyDescent="0.35">
      <c r="A35">
        <v>2058</v>
      </c>
      <c r="C35" s="7">
        <f t="shared" si="0"/>
        <v>30.422035324662112</v>
      </c>
      <c r="D35" s="7">
        <f t="shared" si="1"/>
        <v>14.116753266009237</v>
      </c>
      <c r="E35" s="7">
        <f t="shared" si="2"/>
        <v>46.727317383314983</v>
      </c>
    </row>
    <row r="36" spans="1:5" x14ac:dyDescent="0.35">
      <c r="A36">
        <v>2059</v>
      </c>
      <c r="C36" s="7">
        <f t="shared" si="0"/>
        <v>30.436662264756976</v>
      </c>
      <c r="D36" s="7">
        <f t="shared" si="1"/>
        <v>12.923565572339513</v>
      </c>
      <c r="E36" s="7">
        <f t="shared" si="2"/>
        <v>47.949758957174438</v>
      </c>
    </row>
    <row r="37" spans="1:5" x14ac:dyDescent="0.35">
      <c r="A37">
        <v>2060</v>
      </c>
      <c r="C37" s="7">
        <f t="shared" si="0"/>
        <v>30.45128920485184</v>
      </c>
      <c r="D37" s="7">
        <f t="shared" si="1"/>
        <v>11.701957972903202</v>
      </c>
      <c r="E37" s="7">
        <f t="shared" si="2"/>
        <v>49.200620436800477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AAC5-DC08-4E9E-9DA2-E38ADA6F5818}">
  <dimension ref="A1:E54"/>
  <sheetViews>
    <sheetView topLeftCell="A4" workbookViewId="0">
      <selection activeCell="H54" sqref="H54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2011</v>
      </c>
      <c r="B2">
        <v>19.91</v>
      </c>
    </row>
    <row r="3" spans="1:5" x14ac:dyDescent="0.35">
      <c r="A3">
        <v>2012</v>
      </c>
      <c r="B3">
        <v>19.899999999999999</v>
      </c>
    </row>
    <row r="4" spans="1:5" x14ac:dyDescent="0.35">
      <c r="A4">
        <v>2013</v>
      </c>
      <c r="B4">
        <v>19.71</v>
      </c>
    </row>
    <row r="5" spans="1:5" x14ac:dyDescent="0.35">
      <c r="A5">
        <v>2014</v>
      </c>
      <c r="B5">
        <v>19.96</v>
      </c>
    </row>
    <row r="6" spans="1:5" x14ac:dyDescent="0.35">
      <c r="A6">
        <v>2015</v>
      </c>
      <c r="B6">
        <v>20.58</v>
      </c>
    </row>
    <row r="7" spans="1:5" x14ac:dyDescent="0.35">
      <c r="A7">
        <v>2016</v>
      </c>
      <c r="B7">
        <v>20.64</v>
      </c>
    </row>
    <row r="8" spans="1:5" x14ac:dyDescent="0.35">
      <c r="A8">
        <v>2017</v>
      </c>
      <c r="B8">
        <v>20.16</v>
      </c>
    </row>
    <row r="9" spans="1:5" x14ac:dyDescent="0.35">
      <c r="A9">
        <v>2018</v>
      </c>
      <c r="B9">
        <v>21.01</v>
      </c>
    </row>
    <row r="10" spans="1:5" x14ac:dyDescent="0.35">
      <c r="A10">
        <v>2019</v>
      </c>
      <c r="B10">
        <v>20.54</v>
      </c>
    </row>
    <row r="11" spans="1:5" x14ac:dyDescent="0.35">
      <c r="A11">
        <v>2020</v>
      </c>
      <c r="B11">
        <v>20.71</v>
      </c>
    </row>
    <row r="12" spans="1:5" x14ac:dyDescent="0.35">
      <c r="A12">
        <v>2021</v>
      </c>
      <c r="B12">
        <v>20.47</v>
      </c>
    </row>
    <row r="13" spans="1:5" x14ac:dyDescent="0.35">
      <c r="A13">
        <v>2022</v>
      </c>
      <c r="B13">
        <v>21.16</v>
      </c>
    </row>
    <row r="14" spans="1:5" x14ac:dyDescent="0.35">
      <c r="A14">
        <v>2023</v>
      </c>
      <c r="B14">
        <v>27.2</v>
      </c>
    </row>
    <row r="15" spans="1:5" x14ac:dyDescent="0.35">
      <c r="A15">
        <v>2024</v>
      </c>
      <c r="B15">
        <v>32.08</v>
      </c>
    </row>
    <row r="16" spans="1:5" x14ac:dyDescent="0.35">
      <c r="A16">
        <v>2025</v>
      </c>
      <c r="B16">
        <v>29</v>
      </c>
      <c r="C16">
        <v>29</v>
      </c>
      <c r="D16" s="1">
        <v>29</v>
      </c>
      <c r="E16" s="1">
        <v>29</v>
      </c>
    </row>
    <row r="17" spans="1:5" x14ac:dyDescent="0.35">
      <c r="A17">
        <v>2026</v>
      </c>
      <c r="B17">
        <v>27.7</v>
      </c>
      <c r="C17">
        <f>_xlfn.FORECAST.ETS(A17,$B$2:$B$16,$A$2:$A$16,1,1)</f>
        <v>28.293987515274843</v>
      </c>
      <c r="D17" s="1">
        <f>C17-_xlfn.FORECAST.ETS.CONFINT(A17,$B$2:$B$16,$A$2:$A$16,0.95,1,1)</f>
        <v>23.10672389346</v>
      </c>
      <c r="E17" s="1">
        <f>C17+_xlfn.FORECAST.ETS.CONFINT(A17,$B$2:$B$16,$A$2:$A$16,0.95,1,1)</f>
        <v>33.481251137089686</v>
      </c>
    </row>
    <row r="18" spans="1:5" x14ac:dyDescent="0.35">
      <c r="A18">
        <v>2027</v>
      </c>
      <c r="C18">
        <f>_xlfn.FORECAST.ETS(A18,$B$2:$B$16,$A$2:$A$16,1,1)</f>
        <v>28.929418497520651</v>
      </c>
      <c r="D18" s="1">
        <f>C18-_xlfn.FORECAST.ETS.CONFINT(A18,$B$2:$B$16,$A$2:$A$16,0.95,1,1)</f>
        <v>23.581249078505731</v>
      </c>
      <c r="E18" s="1">
        <f>C18+_xlfn.FORECAST.ETS.CONFINT(A18,$B$2:$B$16,$A$2:$A$16,0.95,1,1)</f>
        <v>34.277587916535566</v>
      </c>
    </row>
    <row r="19" spans="1:5" x14ac:dyDescent="0.35">
      <c r="A19">
        <v>2028</v>
      </c>
      <c r="C19">
        <f>_xlfn.FORECAST.ETS(A19,$B$2:$B$16,$A$2:$A$16,1,1)</f>
        <v>29.564849479766462</v>
      </c>
      <c r="D19" s="1">
        <f>C19-_xlfn.FORECAST.ETS.CONFINT(A19,$B$2:$B$16,$A$2:$A$16,0.95,1,1)</f>
        <v>24.059246609796467</v>
      </c>
      <c r="E19" s="1">
        <f>C19+_xlfn.FORECAST.ETS.CONFINT(A19,$B$2:$B$16,$A$2:$A$16,0.95,1,1)</f>
        <v>35.070452349736456</v>
      </c>
    </row>
    <row r="20" spans="1:5" x14ac:dyDescent="0.35">
      <c r="A20">
        <v>2029</v>
      </c>
      <c r="C20">
        <f>_xlfn.FORECAST.ETS(A20,$B$2:$B$16,$A$2:$A$16,1,1)</f>
        <v>30.200280462012273</v>
      </c>
      <c r="D20" s="1">
        <f>C20-_xlfn.FORECAST.ETS.CONFINT(A20,$B$2:$B$16,$A$2:$A$16,0.95,1,1)</f>
        <v>24.540421967348486</v>
      </c>
      <c r="E20" s="1">
        <f>C20+_xlfn.FORECAST.ETS.CONFINT(A20,$B$2:$B$16,$A$2:$A$16,0.95,1,1)</f>
        <v>35.86013895667606</v>
      </c>
    </row>
    <row r="21" spans="1:5" x14ac:dyDescent="0.35">
      <c r="A21">
        <v>2030</v>
      </c>
      <c r="C21">
        <f>_xlfn.FORECAST.ETS(A21,$B$2:$B$16,$A$2:$A$16,1,1)</f>
        <v>30.835711444258084</v>
      </c>
      <c r="D21" s="1">
        <f>C21-_xlfn.FORECAST.ETS.CONFINT(A21,$B$2:$B$16,$A$2:$A$16,0.95,1,1)</f>
        <v>25.024517453064703</v>
      </c>
      <c r="E21" s="1">
        <f>C21+_xlfn.FORECAST.ETS.CONFINT(A21,$B$2:$B$16,$A$2:$A$16,0.95,1,1)</f>
        <v>36.646905435451465</v>
      </c>
    </row>
    <row r="22" spans="1:5" x14ac:dyDescent="0.35">
      <c r="A22">
        <v>2031</v>
      </c>
      <c r="C22">
        <f t="shared" ref="C22:C45" si="0">_xlfn.FORECAST.ETS(A22,$B$2:$B$16,$A$2:$A$16,1,1)</f>
        <v>31.471142426503892</v>
      </c>
      <c r="D22" s="1">
        <f t="shared" ref="D22:D45" si="1">C22-_xlfn.FORECAST.ETS.CONFINT(A22,$B$2:$B$16,$A$2:$A$16,0.95,1,1)</f>
        <v>25.511306099202415</v>
      </c>
      <c r="E22" s="1">
        <f t="shared" ref="E22:E45" si="2">C22+_xlfn.FORECAST.ETS.CONFINT(A22,$B$2:$B$16,$A$2:$A$16,0.95,1,1)</f>
        <v>37.43097875380537</v>
      </c>
    </row>
    <row r="23" spans="1:5" x14ac:dyDescent="0.35">
      <c r="A23">
        <v>2032</v>
      </c>
      <c r="C23">
        <f t="shared" si="0"/>
        <v>32.106573408749703</v>
      </c>
      <c r="D23" s="1">
        <f t="shared" si="1"/>
        <v>26.000586811168077</v>
      </c>
      <c r="E23" s="1">
        <f t="shared" si="2"/>
        <v>38.21256000633133</v>
      </c>
    </row>
    <row r="24" spans="1:5" x14ac:dyDescent="0.35">
      <c r="A24">
        <v>2033</v>
      </c>
      <c r="C24">
        <f t="shared" si="0"/>
        <v>32.742004390995511</v>
      </c>
      <c r="D24" s="1">
        <f t="shared" si="1"/>
        <v>26.49218045239035</v>
      </c>
      <c r="E24" s="1">
        <f t="shared" si="2"/>
        <v>38.991828329600672</v>
      </c>
    </row>
    <row r="25" spans="1:5" x14ac:dyDescent="0.35">
      <c r="A25">
        <v>2034</v>
      </c>
      <c r="C25">
        <f t="shared" si="0"/>
        <v>33.377435373241326</v>
      </c>
      <c r="D25" s="1">
        <f t="shared" si="1"/>
        <v>26.98592665739206</v>
      </c>
      <c r="E25" s="1">
        <f t="shared" si="2"/>
        <v>39.768944089090596</v>
      </c>
    </row>
    <row r="26" spans="1:5" x14ac:dyDescent="0.35">
      <c r="A26">
        <v>2035</v>
      </c>
      <c r="C26">
        <f t="shared" si="0"/>
        <v>34.012866355487134</v>
      </c>
      <c r="D26" s="1">
        <f t="shared" si="1"/>
        <v>27.481681214266651</v>
      </c>
      <c r="E26" s="1">
        <f t="shared" si="2"/>
        <v>40.544051496707617</v>
      </c>
    </row>
    <row r="27" spans="1:5" x14ac:dyDescent="0.35">
      <c r="A27">
        <v>2036</v>
      </c>
      <c r="C27">
        <f t="shared" si="0"/>
        <v>34.648297337732942</v>
      </c>
      <c r="D27" s="1">
        <f t="shared" si="1"/>
        <v>27.979313897107509</v>
      </c>
      <c r="E27" s="1">
        <f t="shared" si="2"/>
        <v>41.317280778358374</v>
      </c>
    </row>
    <row r="28" spans="1:5" x14ac:dyDescent="0.35">
      <c r="A28">
        <v>2037</v>
      </c>
      <c r="C28">
        <f t="shared" si="0"/>
        <v>35.283728319978756</v>
      </c>
      <c r="D28" s="1">
        <f t="shared" si="1"/>
        <v>28.478706657449251</v>
      </c>
      <c r="E28" s="1">
        <f t="shared" si="2"/>
        <v>42.088749982508261</v>
      </c>
    </row>
    <row r="29" spans="1:5" x14ac:dyDescent="0.35">
      <c r="A29">
        <v>2038</v>
      </c>
      <c r="C29">
        <f t="shared" si="0"/>
        <v>35.919159302224564</v>
      </c>
      <c r="D29" s="1">
        <f t="shared" si="1"/>
        <v>28.979752104719449</v>
      </c>
      <c r="E29" s="1">
        <f t="shared" si="2"/>
        <v>42.858566499729683</v>
      </c>
    </row>
    <row r="30" spans="1:5" x14ac:dyDescent="0.35">
      <c r="A30">
        <v>2039</v>
      </c>
      <c r="C30">
        <f t="shared" si="0"/>
        <v>36.554590284470379</v>
      </c>
      <c r="D30" s="1">
        <f t="shared" si="1"/>
        <v>29.482352221267618</v>
      </c>
      <c r="E30" s="1">
        <f t="shared" si="2"/>
        <v>43.62682834767314</v>
      </c>
    </row>
    <row r="31" spans="1:5" x14ac:dyDescent="0.35">
      <c r="A31">
        <v>2040</v>
      </c>
      <c r="C31">
        <f t="shared" si="0"/>
        <v>37.190021266716187</v>
      </c>
      <c r="D31" s="1">
        <f t="shared" si="1"/>
        <v>29.98641726924464</v>
      </c>
      <c r="E31" s="1">
        <f t="shared" si="2"/>
        <v>44.393625264187733</v>
      </c>
    </row>
    <row r="32" spans="1:5" x14ac:dyDescent="0.35">
      <c r="A32">
        <v>2041</v>
      </c>
      <c r="C32">
        <f t="shared" si="0"/>
        <v>37.825452248961994</v>
      </c>
      <c r="D32" s="1">
        <f t="shared" si="1"/>
        <v>30.491864855501973</v>
      </c>
      <c r="E32" s="1">
        <f t="shared" si="2"/>
        <v>45.159039642422016</v>
      </c>
    </row>
    <row r="33" spans="1:5" x14ac:dyDescent="0.35">
      <c r="A33">
        <v>2042</v>
      </c>
      <c r="C33">
        <f t="shared" si="0"/>
        <v>38.460883231207802</v>
      </c>
      <c r="D33" s="1">
        <f t="shared" si="1"/>
        <v>30.998619127505428</v>
      </c>
      <c r="E33" s="1">
        <f t="shared" si="2"/>
        <v>45.923147334910176</v>
      </c>
    </row>
    <row r="34" spans="1:5" x14ac:dyDescent="0.35">
      <c r="A34">
        <v>2043</v>
      </c>
      <c r="C34">
        <f t="shared" si="0"/>
        <v>39.096314213453617</v>
      </c>
      <c r="D34" s="1">
        <f t="shared" si="1"/>
        <v>31.50661007854405</v>
      </c>
      <c r="E34" s="1">
        <f t="shared" si="2"/>
        <v>46.686018348363184</v>
      </c>
    </row>
    <row r="35" spans="1:5" x14ac:dyDescent="0.35">
      <c r="A35">
        <v>2044</v>
      </c>
      <c r="C35">
        <f t="shared" si="0"/>
        <v>39.731745195699425</v>
      </c>
      <c r="D35" s="1">
        <f t="shared" si="1"/>
        <v>32.015772944641313</v>
      </c>
      <c r="E35" s="1">
        <f t="shared" si="2"/>
        <v>47.447717446757537</v>
      </c>
    </row>
    <row r="36" spans="1:5" x14ac:dyDescent="0.35">
      <c r="A36">
        <v>2045</v>
      </c>
      <c r="C36">
        <f t="shared" si="0"/>
        <v>40.36717617794524</v>
      </c>
      <c r="D36" s="1">
        <f t="shared" si="1"/>
        <v>32.526047678824789</v>
      </c>
      <c r="E36" s="1">
        <f t="shared" si="2"/>
        <v>48.208304677065691</v>
      </c>
    </row>
    <row r="37" spans="1:5" x14ac:dyDescent="0.35">
      <c r="A37">
        <v>2046</v>
      </c>
      <c r="C37">
        <f t="shared" si="0"/>
        <v>41.002607160191047</v>
      </c>
      <c r="D37" s="1">
        <f t="shared" si="1"/>
        <v>33.037378490985645</v>
      </c>
      <c r="E37" s="1">
        <f t="shared" si="2"/>
        <v>48.967835829396449</v>
      </c>
    </row>
    <row r="38" spans="1:5" x14ac:dyDescent="0.35">
      <c r="A38">
        <v>2047</v>
      </c>
      <c r="C38">
        <f t="shared" si="0"/>
        <v>41.638038142436855</v>
      </c>
      <c r="D38" s="1">
        <f t="shared" si="1"/>
        <v>33.549713443616682</v>
      </c>
      <c r="E38" s="1">
        <f t="shared" si="2"/>
        <v>49.726362841257028</v>
      </c>
    </row>
    <row r="39" spans="1:5" x14ac:dyDescent="0.35">
      <c r="A39">
        <v>2048</v>
      </c>
      <c r="C39">
        <f t="shared" si="0"/>
        <v>42.27346912468267</v>
      </c>
      <c r="D39" s="1">
        <f t="shared" si="1"/>
        <v>34.063004095370047</v>
      </c>
      <c r="E39" s="1">
        <f t="shared" si="2"/>
        <v>50.483934153995293</v>
      </c>
    </row>
    <row r="40" spans="1:5" x14ac:dyDescent="0.35">
      <c r="A40">
        <v>2049</v>
      </c>
      <c r="C40">
        <f t="shared" si="0"/>
        <v>42.908900106928478</v>
      </c>
      <c r="D40" s="1">
        <f t="shared" si="1"/>
        <v>34.577205185713332</v>
      </c>
      <c r="E40" s="1">
        <f t="shared" si="2"/>
        <v>51.240595028143623</v>
      </c>
    </row>
    <row r="41" spans="1:5" x14ac:dyDescent="0.35">
      <c r="A41">
        <v>2050</v>
      </c>
      <c r="C41">
        <f t="shared" si="0"/>
        <v>43.544331089174293</v>
      </c>
      <c r="D41" s="1">
        <f t="shared" si="1"/>
        <v>35.092274355049604</v>
      </c>
      <c r="E41" s="1">
        <f t="shared" si="2"/>
        <v>51.996387823298981</v>
      </c>
    </row>
    <row r="42" spans="1:5" x14ac:dyDescent="0.35">
      <c r="A42">
        <v>2051</v>
      </c>
      <c r="C42">
        <f t="shared" si="0"/>
        <v>44.1797620714201</v>
      </c>
      <c r="D42" s="1">
        <f t="shared" si="1"/>
        <v>35.608171895556922</v>
      </c>
      <c r="E42" s="1">
        <f t="shared" si="2"/>
        <v>52.751352247283279</v>
      </c>
    </row>
    <row r="43" spans="1:5" x14ac:dyDescent="0.35">
      <c r="A43">
        <v>2052</v>
      </c>
      <c r="C43">
        <f t="shared" si="0"/>
        <v>44.815193053665908</v>
      </c>
      <c r="D43" s="1">
        <f t="shared" si="1"/>
        <v>36.12486052873426</v>
      </c>
      <c r="E43" s="1">
        <f t="shared" si="2"/>
        <v>53.505525578597556</v>
      </c>
    </row>
    <row r="44" spans="1:5" x14ac:dyDescent="0.35">
      <c r="A44">
        <v>2053</v>
      </c>
      <c r="C44">
        <f t="shared" si="0"/>
        <v>45.450624035911716</v>
      </c>
      <c r="D44" s="1">
        <f t="shared" si="1"/>
        <v>36.642305206244927</v>
      </c>
      <c r="E44" s="1">
        <f t="shared" si="2"/>
        <v>54.258942865578504</v>
      </c>
    </row>
    <row r="45" spans="1:5" x14ac:dyDescent="0.35">
      <c r="A45">
        <v>2054</v>
      </c>
      <c r="C45">
        <f t="shared" si="0"/>
        <v>46.086055018157531</v>
      </c>
      <c r="D45" s="1">
        <f t="shared" si="1"/>
        <v>37.160472931150835</v>
      </c>
      <c r="E45" s="1">
        <f t="shared" si="2"/>
        <v>55.011637105164226</v>
      </c>
    </row>
    <row r="46" spans="1:5" x14ac:dyDescent="0.35">
      <c r="A46">
        <v>2055</v>
      </c>
      <c r="C46">
        <f>_xlfn.FORECAST.ETS(A46,$B$2:$B$16,$A$2:$A$16,1,1)</f>
        <v>46.721486000403345</v>
      </c>
      <c r="D46" s="1">
        <f>C46-_xlfn.FORECAST.ETS.CONFINT(A46,$B$2:$B$16,$A$2:$A$16,0.95,1,1)</f>
        <v>37.679332597049175</v>
      </c>
      <c r="E46" s="1">
        <f>C46+_xlfn.FORECAST.ETS.CONFINT(A46,$B$2:$B$16,$A$2:$A$16,0.95,1,1)</f>
        <v>55.763639403757516</v>
      </c>
    </row>
    <row r="47" spans="1:5" x14ac:dyDescent="0.35">
      <c r="A47">
        <v>2056</v>
      </c>
      <c r="C47">
        <f t="shared" ref="C47:C54" si="3">_xlfn.FORECAST.ETS(A47,$B$2:$B$16,$A$2:$A$16,1,1)</f>
        <v>47.356916982649153</v>
      </c>
      <c r="D47" s="1">
        <f t="shared" ref="D47:D54" si="4">C47-_xlfn.FORECAST.ETS.CONFINT(A47,$B$2:$B$16,$A$2:$A$16,0.95,1,1)</f>
        <v>38.198854842973851</v>
      </c>
      <c r="E47" s="1">
        <f t="shared" ref="E47:E54" si="5">C47+_xlfn.FORECAST.ETS.CONFINT(A47,$B$2:$B$16,$A$2:$A$16,0.95,1,1)</f>
        <v>56.514979122324455</v>
      </c>
    </row>
    <row r="48" spans="1:5" x14ac:dyDescent="0.35">
      <c r="A48">
        <v>2057</v>
      </c>
      <c r="C48">
        <f t="shared" si="3"/>
        <v>47.992347964894961</v>
      </c>
      <c r="D48" s="1">
        <f t="shared" si="4"/>
        <v>38.719011922218797</v>
      </c>
      <c r="E48" s="1">
        <f t="shared" si="5"/>
        <v>57.265684007571124</v>
      </c>
    </row>
    <row r="49" spans="1:5" x14ac:dyDescent="0.35">
      <c r="A49">
        <v>2058</v>
      </c>
      <c r="C49">
        <f t="shared" si="3"/>
        <v>48.627778947140769</v>
      </c>
      <c r="D49" s="1">
        <f t="shared" si="4"/>
        <v>39.239777583489122</v>
      </c>
      <c r="E49" s="1">
        <f t="shared" si="5"/>
        <v>58.015780310792415</v>
      </c>
    </row>
    <row r="50" spans="1:5" x14ac:dyDescent="0.35">
      <c r="A50">
        <v>2059</v>
      </c>
      <c r="C50">
        <f t="shared" si="3"/>
        <v>49.263209929386576</v>
      </c>
      <c r="D50" s="1">
        <f t="shared" si="4"/>
        <v>39.761126962997203</v>
      </c>
      <c r="E50" s="1">
        <f t="shared" si="5"/>
        <v>58.76529289577595</v>
      </c>
    </row>
    <row r="51" spans="1:5" x14ac:dyDescent="0.35">
      <c r="A51">
        <v>2060</v>
      </c>
      <c r="C51">
        <f t="shared" si="3"/>
        <v>49.898640911632391</v>
      </c>
      <c r="D51" s="1">
        <f t="shared" si="4"/>
        <v>40.283036486300091</v>
      </c>
      <c r="E51" s="1">
        <f t="shared" si="5"/>
        <v>59.514245336964692</v>
      </c>
    </row>
    <row r="52" spans="1:5" x14ac:dyDescent="0.35">
      <c r="A52">
        <v>2061</v>
      </c>
      <c r="C52">
        <f t="shared" si="3"/>
        <v>50.534071893878206</v>
      </c>
      <c r="D52" s="1">
        <f t="shared" si="4"/>
        <v>40.805483778827693</v>
      </c>
      <c r="E52" s="1">
        <f t="shared" si="5"/>
        <v>60.262660008928719</v>
      </c>
    </row>
    <row r="53" spans="1:5" x14ac:dyDescent="0.35">
      <c r="A53">
        <v>2062</v>
      </c>
      <c r="C53">
        <f t="shared" si="3"/>
        <v>51.169502876124014</v>
      </c>
      <c r="D53" s="1">
        <f t="shared" si="4"/>
        <v>41.328447584182463</v>
      </c>
      <c r="E53" s="1">
        <f t="shared" si="5"/>
        <v>61.010558168065565</v>
      </c>
    </row>
    <row r="54" spans="1:5" x14ac:dyDescent="0.35">
      <c r="A54">
        <v>2063</v>
      </c>
      <c r="C54">
        <f t="shared" si="3"/>
        <v>51.804933858369822</v>
      </c>
      <c r="D54" s="1">
        <f t="shared" si="4"/>
        <v>41.851907689403717</v>
      </c>
      <c r="E54" s="1">
        <f t="shared" si="5"/>
        <v>61.757960027335926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B9269-8AAC-4B4A-B82D-0F472E0D10CD}">
  <dimension ref="A1:E51"/>
  <sheetViews>
    <sheetView workbookViewId="0">
      <selection activeCell="H54" sqref="H54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2011</v>
      </c>
      <c r="B2">
        <v>19.91</v>
      </c>
    </row>
    <row r="3" spans="1:5" x14ac:dyDescent="0.35">
      <c r="A3">
        <v>2012</v>
      </c>
      <c r="B3">
        <v>19.899999999999999</v>
      </c>
    </row>
    <row r="4" spans="1:5" x14ac:dyDescent="0.35">
      <c r="A4">
        <v>2013</v>
      </c>
      <c r="B4">
        <v>19.71</v>
      </c>
    </row>
    <row r="5" spans="1:5" x14ac:dyDescent="0.35">
      <c r="A5">
        <v>2014</v>
      </c>
      <c r="B5">
        <v>19.96</v>
      </c>
    </row>
    <row r="6" spans="1:5" x14ac:dyDescent="0.35">
      <c r="A6">
        <v>2015</v>
      </c>
      <c r="B6">
        <v>20.58</v>
      </c>
    </row>
    <row r="7" spans="1:5" x14ac:dyDescent="0.35">
      <c r="A7">
        <v>2016</v>
      </c>
      <c r="B7">
        <v>20.64</v>
      </c>
    </row>
    <row r="8" spans="1:5" x14ac:dyDescent="0.35">
      <c r="A8">
        <v>2017</v>
      </c>
      <c r="B8">
        <v>20.16</v>
      </c>
    </row>
    <row r="9" spans="1:5" x14ac:dyDescent="0.35">
      <c r="A9">
        <v>2018</v>
      </c>
      <c r="B9">
        <v>21.01</v>
      </c>
    </row>
    <row r="10" spans="1:5" x14ac:dyDescent="0.35">
      <c r="A10">
        <v>2019</v>
      </c>
      <c r="B10">
        <v>20.54</v>
      </c>
    </row>
    <row r="11" spans="1:5" x14ac:dyDescent="0.35">
      <c r="A11">
        <v>2020</v>
      </c>
      <c r="B11">
        <v>20.71</v>
      </c>
    </row>
    <row r="12" spans="1:5" x14ac:dyDescent="0.35">
      <c r="A12">
        <v>2021</v>
      </c>
      <c r="B12">
        <v>20.47</v>
      </c>
    </row>
    <row r="13" spans="1:5" x14ac:dyDescent="0.35">
      <c r="A13">
        <v>2022</v>
      </c>
      <c r="B13">
        <v>21.16</v>
      </c>
    </row>
    <row r="14" spans="1:5" x14ac:dyDescent="0.35">
      <c r="A14">
        <v>2023</v>
      </c>
      <c r="B14">
        <v>27.2</v>
      </c>
    </row>
    <row r="15" spans="1:5" x14ac:dyDescent="0.35">
      <c r="A15">
        <v>2024</v>
      </c>
      <c r="B15">
        <v>32.08</v>
      </c>
    </row>
    <row r="16" spans="1:5" x14ac:dyDescent="0.35">
      <c r="A16">
        <v>2025</v>
      </c>
      <c r="B16">
        <v>29</v>
      </c>
    </row>
    <row r="17" spans="1:5" x14ac:dyDescent="0.35">
      <c r="A17">
        <v>2026</v>
      </c>
      <c r="B17">
        <v>27.7</v>
      </c>
      <c r="C17">
        <v>27.7</v>
      </c>
      <c r="D17" s="1">
        <v>27.7</v>
      </c>
      <c r="E17" s="1">
        <v>27.7</v>
      </c>
    </row>
    <row r="18" spans="1:5" x14ac:dyDescent="0.35">
      <c r="A18">
        <v>2027</v>
      </c>
      <c r="C18">
        <f t="shared" ref="C18:C51" si="0">_xlfn.FORECAST.ETS(A18,$B$2:$B$17,$A$2:$A$17,1,1)</f>
        <v>28.812250560420338</v>
      </c>
      <c r="D18" s="1">
        <f t="shared" ref="D18:D51" si="1">C18-_xlfn.FORECAST.ETS.CONFINT(A18,$B$2:$B$17,$A$2:$A$17,0.95,1,1)</f>
        <v>23.778021591282425</v>
      </c>
      <c r="E18" s="1">
        <f t="shared" ref="E18:E51" si="2">C18+_xlfn.FORECAST.ETS.CONFINT(A18,$B$2:$B$17,$A$2:$A$17,0.95,1,1)</f>
        <v>33.846479529558252</v>
      </c>
    </row>
    <row r="19" spans="1:5" x14ac:dyDescent="0.35">
      <c r="A19">
        <v>2028</v>
      </c>
      <c r="C19">
        <f t="shared" si="0"/>
        <v>29.455060455253701</v>
      </c>
      <c r="D19" s="1">
        <f t="shared" si="1"/>
        <v>24.264672731785225</v>
      </c>
      <c r="E19" s="1">
        <f t="shared" si="2"/>
        <v>34.645448178722177</v>
      </c>
    </row>
    <row r="20" spans="1:5" x14ac:dyDescent="0.35">
      <c r="A20">
        <v>2029</v>
      </c>
      <c r="C20">
        <f t="shared" si="0"/>
        <v>30.097870350087064</v>
      </c>
      <c r="D20" s="1">
        <f t="shared" si="1"/>
        <v>24.75469377737323</v>
      </c>
      <c r="E20" s="1">
        <f t="shared" si="2"/>
        <v>35.441046922800894</v>
      </c>
    </row>
    <row r="21" spans="1:5" x14ac:dyDescent="0.35">
      <c r="A21">
        <v>2030</v>
      </c>
      <c r="C21">
        <f t="shared" si="0"/>
        <v>30.740680244920426</v>
      </c>
      <c r="D21" s="1">
        <f t="shared" si="1"/>
        <v>25.247798896991362</v>
      </c>
      <c r="E21" s="1">
        <f t="shared" si="2"/>
        <v>36.23356159284949</v>
      </c>
    </row>
    <row r="22" spans="1:5" x14ac:dyDescent="0.35">
      <c r="A22">
        <v>2031</v>
      </c>
      <c r="C22">
        <f t="shared" si="0"/>
        <v>31.383490139753789</v>
      </c>
      <c r="D22" s="1">
        <f t="shared" si="1"/>
        <v>25.74373799515185</v>
      </c>
      <c r="E22" s="1">
        <f t="shared" si="2"/>
        <v>37.023242284355732</v>
      </c>
    </row>
    <row r="23" spans="1:5" x14ac:dyDescent="0.35">
      <c r="A23">
        <v>2032</v>
      </c>
      <c r="C23">
        <f t="shared" si="0"/>
        <v>32.026300034587152</v>
      </c>
      <c r="D23" s="1">
        <f t="shared" si="1"/>
        <v>26.242290800114407</v>
      </c>
      <c r="E23" s="1">
        <f t="shared" si="2"/>
        <v>37.8103092690599</v>
      </c>
    </row>
    <row r="24" spans="1:5" x14ac:dyDescent="0.35">
      <c r="A24">
        <v>2033</v>
      </c>
      <c r="C24">
        <f t="shared" si="0"/>
        <v>32.669109929420515</v>
      </c>
      <c r="D24" s="1">
        <f t="shared" si="1"/>
        <v>26.743262149978221</v>
      </c>
      <c r="E24" s="1">
        <f t="shared" si="2"/>
        <v>38.594957708862808</v>
      </c>
    </row>
    <row r="25" spans="1:5" x14ac:dyDescent="0.35">
      <c r="A25">
        <v>2034</v>
      </c>
      <c r="C25">
        <f t="shared" si="0"/>
        <v>33.311919824253877</v>
      </c>
      <c r="D25" s="1">
        <f t="shared" si="1"/>
        <v>27.246478193059147</v>
      </c>
      <c r="E25" s="1">
        <f t="shared" si="2"/>
        <v>39.377361455448607</v>
      </c>
    </row>
    <row r="26" spans="1:5" x14ac:dyDescent="0.35">
      <c r="A26">
        <v>2035</v>
      </c>
      <c r="C26">
        <f t="shared" si="0"/>
        <v>33.95472971908724</v>
      </c>
      <c r="D26" s="1">
        <f t="shared" si="1"/>
        <v>27.751783294982339</v>
      </c>
      <c r="E26" s="1">
        <f t="shared" si="2"/>
        <v>40.157676143192141</v>
      </c>
    </row>
    <row r="27" spans="1:5" x14ac:dyDescent="0.35">
      <c r="A27">
        <v>2036</v>
      </c>
      <c r="C27">
        <f t="shared" si="0"/>
        <v>34.597539613920603</v>
      </c>
      <c r="D27" s="1">
        <f t="shared" si="1"/>
        <v>28.259037498380952</v>
      </c>
      <c r="E27" s="1">
        <f t="shared" si="2"/>
        <v>40.93604172946025</v>
      </c>
    </row>
    <row r="28" spans="1:5" x14ac:dyDescent="0.35">
      <c r="A28">
        <v>2037</v>
      </c>
      <c r="C28">
        <f t="shared" si="0"/>
        <v>35.240349508753965</v>
      </c>
      <c r="D28" s="1">
        <f t="shared" si="1"/>
        <v>28.768114419273111</v>
      </c>
      <c r="E28" s="1">
        <f t="shared" si="2"/>
        <v>41.71258459823482</v>
      </c>
    </row>
    <row r="29" spans="1:5" x14ac:dyDescent="0.35">
      <c r="A29">
        <v>2038</v>
      </c>
      <c r="C29">
        <f t="shared" si="0"/>
        <v>35.883159403587328</v>
      </c>
      <c r="D29" s="1">
        <f t="shared" si="1"/>
        <v>29.278899491859271</v>
      </c>
      <c r="E29" s="1">
        <f t="shared" si="2"/>
        <v>42.487419315315385</v>
      </c>
    </row>
    <row r="30" spans="1:5" x14ac:dyDescent="0.35">
      <c r="A30">
        <v>2039</v>
      </c>
      <c r="C30">
        <f t="shared" si="0"/>
        <v>36.525969298420691</v>
      </c>
      <c r="D30" s="1">
        <f t="shared" si="1"/>
        <v>29.791288493803709</v>
      </c>
      <c r="E30" s="1">
        <f t="shared" si="2"/>
        <v>43.260650103037669</v>
      </c>
    </row>
    <row r="31" spans="1:5" x14ac:dyDescent="0.35">
      <c r="A31">
        <v>2040</v>
      </c>
      <c r="C31">
        <f t="shared" si="0"/>
        <v>37.168779193254053</v>
      </c>
      <c r="D31" s="1">
        <f t="shared" si="1"/>
        <v>30.305186299172686</v>
      </c>
      <c r="E31" s="1">
        <f t="shared" si="2"/>
        <v>44.032372087335425</v>
      </c>
    </row>
    <row r="32" spans="1:5" x14ac:dyDescent="0.35">
      <c r="A32">
        <v>2041</v>
      </c>
      <c r="C32">
        <f t="shared" si="0"/>
        <v>37.811589088087416</v>
      </c>
      <c r="D32" s="1">
        <f t="shared" si="1"/>
        <v>30.820505817563138</v>
      </c>
      <c r="E32" s="1">
        <f t="shared" si="2"/>
        <v>44.802672358611694</v>
      </c>
    </row>
    <row r="33" spans="1:5" x14ac:dyDescent="0.35">
      <c r="A33">
        <v>2042</v>
      </c>
      <c r="C33">
        <f t="shared" si="0"/>
        <v>38.454398982920779</v>
      </c>
      <c r="D33" s="1">
        <f t="shared" si="1"/>
        <v>31.337167086589208</v>
      </c>
      <c r="E33" s="1">
        <f t="shared" si="2"/>
        <v>45.571630879252353</v>
      </c>
    </row>
    <row r="34" spans="1:5" x14ac:dyDescent="0.35">
      <c r="A34">
        <v>2043</v>
      </c>
      <c r="C34">
        <f t="shared" si="0"/>
        <v>39.097208877754142</v>
      </c>
      <c r="D34" s="1">
        <f t="shared" si="1"/>
        <v>31.855096491518189</v>
      </c>
      <c r="E34" s="1">
        <f t="shared" si="2"/>
        <v>46.339321263990094</v>
      </c>
    </row>
    <row r="35" spans="1:5" x14ac:dyDescent="0.35">
      <c r="A35">
        <v>2044</v>
      </c>
      <c r="C35">
        <f t="shared" si="0"/>
        <v>39.740018772587504</v>
      </c>
      <c r="D35" s="1">
        <f t="shared" si="1"/>
        <v>32.374226090977125</v>
      </c>
      <c r="E35" s="1">
        <f t="shared" si="2"/>
        <v>47.105811454197884</v>
      </c>
    </row>
    <row r="36" spans="1:5" x14ac:dyDescent="0.35">
      <c r="A36">
        <v>2045</v>
      </c>
      <c r="C36">
        <f t="shared" si="0"/>
        <v>40.382828667420867</v>
      </c>
      <c r="D36" s="1">
        <f t="shared" si="1"/>
        <v>32.894493031656346</v>
      </c>
      <c r="E36" s="1">
        <f t="shared" si="2"/>
        <v>47.871164303185388</v>
      </c>
    </row>
    <row r="37" spans="1:5" x14ac:dyDescent="0.35">
      <c r="A37">
        <v>2046</v>
      </c>
      <c r="C37">
        <f t="shared" si="0"/>
        <v>41.02563856225423</v>
      </c>
      <c r="D37" s="1">
        <f t="shared" si="1"/>
        <v>33.415839038089224</v>
      </c>
      <c r="E37" s="1">
        <f t="shared" si="2"/>
        <v>48.635438086419235</v>
      </c>
    </row>
    <row r="38" spans="1:5" x14ac:dyDescent="0.35">
      <c r="A38">
        <v>2047</v>
      </c>
      <c r="C38">
        <f t="shared" si="0"/>
        <v>41.668448457087592</v>
      </c>
      <c r="D38" s="1">
        <f t="shared" si="1"/>
        <v>33.938209966086731</v>
      </c>
      <c r="E38" s="1">
        <f t="shared" si="2"/>
        <v>49.398686948088454</v>
      </c>
    </row>
    <row r="39" spans="1:5" x14ac:dyDescent="0.35">
      <c r="A39">
        <v>2048</v>
      </c>
      <c r="C39">
        <f t="shared" si="0"/>
        <v>42.311258351920955</v>
      </c>
      <c r="D39" s="1">
        <f t="shared" si="1"/>
        <v>34.461555410402006</v>
      </c>
      <c r="E39" s="1">
        <f t="shared" si="2"/>
        <v>50.160961293439904</v>
      </c>
    </row>
    <row r="40" spans="1:5" x14ac:dyDescent="0.35">
      <c r="A40">
        <v>2049</v>
      </c>
      <c r="C40">
        <f t="shared" si="0"/>
        <v>42.954068246754318</v>
      </c>
      <c r="D40" s="1">
        <f t="shared" si="1"/>
        <v>34.985828358803872</v>
      </c>
      <c r="E40" s="1">
        <f t="shared" si="2"/>
        <v>50.922308134704764</v>
      </c>
    </row>
    <row r="41" spans="1:5" x14ac:dyDescent="0.35">
      <c r="A41">
        <v>2050</v>
      </c>
      <c r="C41">
        <f t="shared" si="0"/>
        <v>43.59687814158768</v>
      </c>
      <c r="D41" s="1">
        <f t="shared" si="1"/>
        <v>35.510984886036141</v>
      </c>
      <c r="E41" s="1">
        <f t="shared" si="2"/>
        <v>51.68277139713922</v>
      </c>
    </row>
    <row r="42" spans="1:5" x14ac:dyDescent="0.35">
      <c r="A42">
        <v>2051</v>
      </c>
      <c r="C42">
        <f t="shared" si="0"/>
        <v>44.239688036421043</v>
      </c>
      <c r="D42" s="1">
        <f t="shared" si="1"/>
        <v>36.036983882194718</v>
      </c>
      <c r="E42" s="1">
        <f t="shared" si="2"/>
        <v>52.442392190647368</v>
      </c>
    </row>
    <row r="43" spans="1:5" x14ac:dyDescent="0.35">
      <c r="A43">
        <v>2052</v>
      </c>
      <c r="C43">
        <f t="shared" si="0"/>
        <v>44.882497931254406</v>
      </c>
      <c r="D43" s="1">
        <f t="shared" si="1"/>
        <v>36.563786810917861</v>
      </c>
      <c r="E43" s="1">
        <f t="shared" si="2"/>
        <v>53.201209051590951</v>
      </c>
    </row>
    <row r="44" spans="1:5" x14ac:dyDescent="0.35">
      <c r="A44">
        <v>2053</v>
      </c>
      <c r="C44">
        <f t="shared" si="0"/>
        <v>45.525307826087769</v>
      </c>
      <c r="D44" s="1">
        <f t="shared" si="1"/>
        <v>37.091357493494868</v>
      </c>
      <c r="E44" s="1">
        <f t="shared" si="2"/>
        <v>53.959258158680669</v>
      </c>
    </row>
    <row r="45" spans="1:5" x14ac:dyDescent="0.35">
      <c r="A45">
        <v>2054</v>
      </c>
      <c r="C45">
        <f t="shared" si="0"/>
        <v>46.168117720921131</v>
      </c>
      <c r="D45" s="1">
        <f t="shared" si="1"/>
        <v>37.619661915585098</v>
      </c>
      <c r="E45" s="1">
        <f t="shared" si="2"/>
        <v>54.716573526257164</v>
      </c>
    </row>
    <row r="46" spans="1:5" x14ac:dyDescent="0.35">
      <c r="A46">
        <v>2055</v>
      </c>
      <c r="C46">
        <f t="shared" si="0"/>
        <v>46.810927615754494</v>
      </c>
      <c r="D46" s="1">
        <f t="shared" si="1"/>
        <v>38.148668053726126</v>
      </c>
      <c r="E46" s="1">
        <f t="shared" si="2"/>
        <v>55.473187177782862</v>
      </c>
    </row>
    <row r="47" spans="1:5" x14ac:dyDescent="0.35">
      <c r="A47">
        <v>2056</v>
      </c>
      <c r="C47">
        <f t="shared" si="0"/>
        <v>47.453737510587857</v>
      </c>
      <c r="D47" s="1">
        <f t="shared" si="1"/>
        <v>38.678345719216253</v>
      </c>
      <c r="E47" s="1">
        <f t="shared" si="2"/>
        <v>56.22912930195946</v>
      </c>
    </row>
    <row r="48" spans="1:5" x14ac:dyDescent="0.35">
      <c r="A48">
        <v>2057</v>
      </c>
      <c r="C48">
        <f t="shared" si="0"/>
        <v>48.096547405421219</v>
      </c>
      <c r="D48" s="1">
        <f t="shared" si="1"/>
        <v>39.208666417296612</v>
      </c>
      <c r="E48" s="1">
        <f t="shared" si="2"/>
        <v>56.984428393545826</v>
      </c>
    </row>
    <row r="49" spans="1:5" x14ac:dyDescent="0.35">
      <c r="A49">
        <v>2058</v>
      </c>
      <c r="C49">
        <f t="shared" si="0"/>
        <v>48.739357300254582</v>
      </c>
      <c r="D49" s="1">
        <f t="shared" si="1"/>
        <v>39.739603219844469</v>
      </c>
      <c r="E49" s="1">
        <f t="shared" si="2"/>
        <v>57.739111380664696</v>
      </c>
    </row>
    <row r="50" spans="1:5" x14ac:dyDescent="0.35">
      <c r="A50">
        <v>2059</v>
      </c>
      <c r="C50">
        <f t="shared" si="0"/>
        <v>49.382167195087945</v>
      </c>
      <c r="D50" s="1">
        <f t="shared" si="1"/>
        <v>40.271130650030642</v>
      </c>
      <c r="E50" s="1">
        <f t="shared" si="2"/>
        <v>58.493203740145248</v>
      </c>
    </row>
    <row r="51" spans="1:5" x14ac:dyDescent="0.35">
      <c r="A51">
        <v>2060</v>
      </c>
      <c r="C51">
        <f t="shared" si="0"/>
        <v>50.024977089921308</v>
      </c>
      <c r="D51" s="1">
        <f t="shared" si="1"/>
        <v>40.803224577598975</v>
      </c>
      <c r="E51" s="1">
        <f t="shared" si="2"/>
        <v>59.24672960224364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7F6C-0834-4241-B4CC-7168F1980C2C}">
  <dimension ref="A1:E55"/>
  <sheetViews>
    <sheetView workbookViewId="0"/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2011</v>
      </c>
      <c r="B2">
        <v>19.91</v>
      </c>
    </row>
    <row r="3" spans="1:5" x14ac:dyDescent="0.35">
      <c r="A3">
        <v>2012</v>
      </c>
      <c r="B3">
        <v>19.899999999999999</v>
      </c>
    </row>
    <row r="4" spans="1:5" x14ac:dyDescent="0.35">
      <c r="A4">
        <v>2013</v>
      </c>
      <c r="B4">
        <v>19.71</v>
      </c>
    </row>
    <row r="5" spans="1:5" x14ac:dyDescent="0.35">
      <c r="A5">
        <v>2014</v>
      </c>
      <c r="B5">
        <v>19.96</v>
      </c>
    </row>
    <row r="6" spans="1:5" x14ac:dyDescent="0.35">
      <c r="A6">
        <v>2015</v>
      </c>
      <c r="B6">
        <v>20.58</v>
      </c>
    </row>
    <row r="7" spans="1:5" x14ac:dyDescent="0.35">
      <c r="A7">
        <v>2016</v>
      </c>
      <c r="B7">
        <v>20.64</v>
      </c>
    </row>
    <row r="8" spans="1:5" x14ac:dyDescent="0.35">
      <c r="A8">
        <v>2017</v>
      </c>
      <c r="B8">
        <v>20.16</v>
      </c>
    </row>
    <row r="9" spans="1:5" x14ac:dyDescent="0.35">
      <c r="A9">
        <v>2018</v>
      </c>
      <c r="B9">
        <v>21.01</v>
      </c>
    </row>
    <row r="10" spans="1:5" x14ac:dyDescent="0.35">
      <c r="A10">
        <v>2019</v>
      </c>
      <c r="B10">
        <v>20.54</v>
      </c>
    </row>
    <row r="11" spans="1:5" x14ac:dyDescent="0.35">
      <c r="A11">
        <v>2020</v>
      </c>
      <c r="B11">
        <v>20.71</v>
      </c>
    </row>
    <row r="12" spans="1:5" x14ac:dyDescent="0.35">
      <c r="A12">
        <v>2021</v>
      </c>
      <c r="B12">
        <v>20.47</v>
      </c>
    </row>
    <row r="13" spans="1:5" x14ac:dyDescent="0.35">
      <c r="A13">
        <v>2022</v>
      </c>
      <c r="B13">
        <v>21.16</v>
      </c>
    </row>
    <row r="14" spans="1:5" x14ac:dyDescent="0.35">
      <c r="A14">
        <v>2023</v>
      </c>
      <c r="B14">
        <v>27.2</v>
      </c>
    </row>
    <row r="15" spans="1:5" x14ac:dyDescent="0.35">
      <c r="A15">
        <v>2024</v>
      </c>
      <c r="B15">
        <v>32.08</v>
      </c>
    </row>
    <row r="16" spans="1:5" x14ac:dyDescent="0.35">
      <c r="A16">
        <v>2025</v>
      </c>
      <c r="B16">
        <v>29</v>
      </c>
    </row>
    <row r="17" spans="1:5" x14ac:dyDescent="0.35">
      <c r="A17">
        <v>2026</v>
      </c>
      <c r="B17">
        <v>27.7</v>
      </c>
      <c r="C17">
        <v>27.7</v>
      </c>
      <c r="D17" s="1">
        <v>27.7</v>
      </c>
      <c r="E17" s="1">
        <v>27.7</v>
      </c>
    </row>
    <row r="18" spans="1:5" x14ac:dyDescent="0.35">
      <c r="A18">
        <v>2027</v>
      </c>
      <c r="C18">
        <f t="shared" ref="C18:C55" si="0">_xlfn.FORECAST.ETS(A18,$B$2:$B$17,$A$2:$A$17,1,1)</f>
        <v>28.812250560420338</v>
      </c>
      <c r="D18" s="1">
        <f t="shared" ref="D18:D55" si="1">C18-_xlfn.FORECAST.ETS.CONFINT(A18,$B$2:$B$17,$A$2:$A$17,0.95,1,1)</f>
        <v>23.778021591282425</v>
      </c>
      <c r="E18" s="1">
        <f t="shared" ref="E18:E55" si="2">C18+_xlfn.FORECAST.ETS.CONFINT(A18,$B$2:$B$17,$A$2:$A$17,0.95,1,1)</f>
        <v>33.846479529558252</v>
      </c>
    </row>
    <row r="19" spans="1:5" x14ac:dyDescent="0.35">
      <c r="A19">
        <v>2028</v>
      </c>
      <c r="C19">
        <f t="shared" si="0"/>
        <v>29.455060455253701</v>
      </c>
      <c r="D19" s="1">
        <f t="shared" si="1"/>
        <v>24.264672731785225</v>
      </c>
      <c r="E19" s="1">
        <f t="shared" si="2"/>
        <v>34.645448178722177</v>
      </c>
    </row>
    <row r="20" spans="1:5" x14ac:dyDescent="0.35">
      <c r="A20">
        <v>2029</v>
      </c>
      <c r="C20">
        <f t="shared" si="0"/>
        <v>30.097870350087064</v>
      </c>
      <c r="D20" s="1">
        <f t="shared" si="1"/>
        <v>24.75469377737323</v>
      </c>
      <c r="E20" s="1">
        <f t="shared" si="2"/>
        <v>35.441046922800894</v>
      </c>
    </row>
    <row r="21" spans="1:5" x14ac:dyDescent="0.35">
      <c r="A21">
        <v>2030</v>
      </c>
      <c r="C21">
        <f t="shared" si="0"/>
        <v>30.740680244920426</v>
      </c>
      <c r="D21" s="1">
        <f t="shared" si="1"/>
        <v>25.247798896991362</v>
      </c>
      <c r="E21" s="1">
        <f t="shared" si="2"/>
        <v>36.23356159284949</v>
      </c>
    </row>
    <row r="22" spans="1:5" x14ac:dyDescent="0.35">
      <c r="A22">
        <v>2031</v>
      </c>
      <c r="C22">
        <f t="shared" si="0"/>
        <v>31.383490139753789</v>
      </c>
      <c r="D22" s="1">
        <f t="shared" si="1"/>
        <v>25.74373799515185</v>
      </c>
      <c r="E22" s="1">
        <f t="shared" si="2"/>
        <v>37.023242284355732</v>
      </c>
    </row>
    <row r="23" spans="1:5" x14ac:dyDescent="0.35">
      <c r="A23">
        <v>2032</v>
      </c>
      <c r="C23">
        <f t="shared" si="0"/>
        <v>32.026300034587152</v>
      </c>
      <c r="D23" s="1">
        <f t="shared" si="1"/>
        <v>26.242290800114407</v>
      </c>
      <c r="E23" s="1">
        <f t="shared" si="2"/>
        <v>37.8103092690599</v>
      </c>
    </row>
    <row r="24" spans="1:5" x14ac:dyDescent="0.35">
      <c r="A24">
        <v>2033</v>
      </c>
      <c r="C24">
        <f t="shared" si="0"/>
        <v>32.669109929420515</v>
      </c>
      <c r="D24" s="1">
        <f t="shared" si="1"/>
        <v>26.743262149978221</v>
      </c>
      <c r="E24" s="1">
        <f t="shared" si="2"/>
        <v>38.594957708862808</v>
      </c>
    </row>
    <row r="25" spans="1:5" x14ac:dyDescent="0.35">
      <c r="A25">
        <v>2034</v>
      </c>
      <c r="C25">
        <f t="shared" si="0"/>
        <v>33.311919824253877</v>
      </c>
      <c r="D25" s="1">
        <f t="shared" si="1"/>
        <v>27.246478193059147</v>
      </c>
      <c r="E25" s="1">
        <f t="shared" si="2"/>
        <v>39.377361455448607</v>
      </c>
    </row>
    <row r="26" spans="1:5" x14ac:dyDescent="0.35">
      <c r="A26">
        <v>2035</v>
      </c>
      <c r="C26">
        <f t="shared" si="0"/>
        <v>33.95472971908724</v>
      </c>
      <c r="D26" s="1">
        <f t="shared" si="1"/>
        <v>27.751783294982339</v>
      </c>
      <c r="E26" s="1">
        <f t="shared" si="2"/>
        <v>40.157676143192141</v>
      </c>
    </row>
    <row r="27" spans="1:5" x14ac:dyDescent="0.35">
      <c r="A27">
        <v>2036</v>
      </c>
      <c r="C27">
        <f t="shared" si="0"/>
        <v>34.597539613920603</v>
      </c>
      <c r="D27" s="1">
        <f t="shared" si="1"/>
        <v>28.259037498380952</v>
      </c>
      <c r="E27" s="1">
        <f t="shared" si="2"/>
        <v>40.93604172946025</v>
      </c>
    </row>
    <row r="28" spans="1:5" x14ac:dyDescent="0.35">
      <c r="A28">
        <v>2037</v>
      </c>
      <c r="C28">
        <f t="shared" si="0"/>
        <v>35.240349508753965</v>
      </c>
      <c r="D28" s="1">
        <f t="shared" si="1"/>
        <v>28.768114419273111</v>
      </c>
      <c r="E28" s="1">
        <f t="shared" si="2"/>
        <v>41.71258459823482</v>
      </c>
    </row>
    <row r="29" spans="1:5" x14ac:dyDescent="0.35">
      <c r="A29">
        <v>2038</v>
      </c>
      <c r="C29">
        <f t="shared" si="0"/>
        <v>35.883159403587328</v>
      </c>
      <c r="D29" s="1">
        <f t="shared" si="1"/>
        <v>29.278899491859271</v>
      </c>
      <c r="E29" s="1">
        <f t="shared" si="2"/>
        <v>42.487419315315385</v>
      </c>
    </row>
    <row r="30" spans="1:5" x14ac:dyDescent="0.35">
      <c r="A30">
        <v>2039</v>
      </c>
      <c r="C30">
        <f t="shared" si="0"/>
        <v>36.525969298420691</v>
      </c>
      <c r="D30" s="1">
        <f t="shared" si="1"/>
        <v>29.791288493803709</v>
      </c>
      <c r="E30" s="1">
        <f t="shared" si="2"/>
        <v>43.260650103037669</v>
      </c>
    </row>
    <row r="31" spans="1:5" x14ac:dyDescent="0.35">
      <c r="A31">
        <v>2040</v>
      </c>
      <c r="C31">
        <f t="shared" si="0"/>
        <v>37.168779193254053</v>
      </c>
      <c r="D31" s="1">
        <f t="shared" si="1"/>
        <v>30.305186299172686</v>
      </c>
      <c r="E31" s="1">
        <f t="shared" si="2"/>
        <v>44.032372087335425</v>
      </c>
    </row>
    <row r="32" spans="1:5" x14ac:dyDescent="0.35">
      <c r="A32">
        <v>2041</v>
      </c>
      <c r="C32">
        <f t="shared" si="0"/>
        <v>37.811589088087416</v>
      </c>
      <c r="D32" s="1">
        <f t="shared" si="1"/>
        <v>30.820505817563138</v>
      </c>
      <c r="E32" s="1">
        <f t="shared" si="2"/>
        <v>44.802672358611694</v>
      </c>
    </row>
    <row r="33" spans="1:5" x14ac:dyDescent="0.35">
      <c r="A33">
        <v>2042</v>
      </c>
      <c r="C33">
        <f t="shared" si="0"/>
        <v>38.454398982920779</v>
      </c>
      <c r="D33" s="1">
        <f t="shared" si="1"/>
        <v>31.337167086589208</v>
      </c>
      <c r="E33" s="1">
        <f t="shared" si="2"/>
        <v>45.571630879252353</v>
      </c>
    </row>
    <row r="34" spans="1:5" x14ac:dyDescent="0.35">
      <c r="A34">
        <v>2043</v>
      </c>
      <c r="C34">
        <f t="shared" si="0"/>
        <v>39.097208877754142</v>
      </c>
      <c r="D34" s="1">
        <f t="shared" si="1"/>
        <v>31.855096491518189</v>
      </c>
      <c r="E34" s="1">
        <f t="shared" si="2"/>
        <v>46.339321263990094</v>
      </c>
    </row>
    <row r="35" spans="1:5" x14ac:dyDescent="0.35">
      <c r="A35">
        <v>2044</v>
      </c>
      <c r="C35">
        <f t="shared" si="0"/>
        <v>39.740018772587504</v>
      </c>
      <c r="D35" s="1">
        <f t="shared" si="1"/>
        <v>32.374226090977125</v>
      </c>
      <c r="E35" s="1">
        <f t="shared" si="2"/>
        <v>47.105811454197884</v>
      </c>
    </row>
    <row r="36" spans="1:5" x14ac:dyDescent="0.35">
      <c r="A36">
        <v>2045</v>
      </c>
      <c r="C36">
        <f t="shared" si="0"/>
        <v>40.382828667420867</v>
      </c>
      <c r="D36" s="1">
        <f t="shared" si="1"/>
        <v>32.894493031656346</v>
      </c>
      <c r="E36" s="1">
        <f t="shared" si="2"/>
        <v>47.871164303185388</v>
      </c>
    </row>
    <row r="37" spans="1:5" x14ac:dyDescent="0.35">
      <c r="A37">
        <v>2046</v>
      </c>
      <c r="C37">
        <f t="shared" si="0"/>
        <v>41.02563856225423</v>
      </c>
      <c r="D37" s="1">
        <f t="shared" si="1"/>
        <v>33.415839038089224</v>
      </c>
      <c r="E37" s="1">
        <f t="shared" si="2"/>
        <v>48.635438086419235</v>
      </c>
    </row>
    <row r="38" spans="1:5" x14ac:dyDescent="0.35">
      <c r="A38">
        <v>2047</v>
      </c>
      <c r="C38">
        <f t="shared" si="0"/>
        <v>41.668448457087592</v>
      </c>
      <c r="D38" s="1">
        <f t="shared" si="1"/>
        <v>33.938209966086731</v>
      </c>
      <c r="E38" s="1">
        <f t="shared" si="2"/>
        <v>49.398686948088454</v>
      </c>
    </row>
    <row r="39" spans="1:5" x14ac:dyDescent="0.35">
      <c r="A39">
        <v>2048</v>
      </c>
      <c r="C39">
        <f t="shared" si="0"/>
        <v>42.311258351920955</v>
      </c>
      <c r="D39" s="1">
        <f t="shared" si="1"/>
        <v>34.461555410402006</v>
      </c>
      <c r="E39" s="1">
        <f t="shared" si="2"/>
        <v>50.160961293439904</v>
      </c>
    </row>
    <row r="40" spans="1:5" x14ac:dyDescent="0.35">
      <c r="A40">
        <v>2049</v>
      </c>
      <c r="C40">
        <f t="shared" si="0"/>
        <v>42.954068246754318</v>
      </c>
      <c r="D40" s="1">
        <f t="shared" si="1"/>
        <v>34.985828358803872</v>
      </c>
      <c r="E40" s="1">
        <f t="shared" si="2"/>
        <v>50.922308134704764</v>
      </c>
    </row>
    <row r="41" spans="1:5" x14ac:dyDescent="0.35">
      <c r="A41">
        <v>2050</v>
      </c>
      <c r="C41">
        <f t="shared" si="0"/>
        <v>43.59687814158768</v>
      </c>
      <c r="D41" s="1">
        <f t="shared" si="1"/>
        <v>35.510984886036141</v>
      </c>
      <c r="E41" s="1">
        <f t="shared" si="2"/>
        <v>51.68277139713922</v>
      </c>
    </row>
    <row r="42" spans="1:5" x14ac:dyDescent="0.35">
      <c r="A42">
        <v>2051</v>
      </c>
      <c r="C42">
        <f t="shared" si="0"/>
        <v>44.239688036421043</v>
      </c>
      <c r="D42" s="1">
        <f t="shared" si="1"/>
        <v>36.036983882194718</v>
      </c>
      <c r="E42" s="1">
        <f t="shared" si="2"/>
        <v>52.442392190647368</v>
      </c>
    </row>
    <row r="43" spans="1:5" x14ac:dyDescent="0.35">
      <c r="A43">
        <v>2052</v>
      </c>
      <c r="C43">
        <f t="shared" si="0"/>
        <v>44.882497931254406</v>
      </c>
      <c r="D43" s="1">
        <f t="shared" si="1"/>
        <v>36.563786810917861</v>
      </c>
      <c r="E43" s="1">
        <f t="shared" si="2"/>
        <v>53.201209051590951</v>
      </c>
    </row>
    <row r="44" spans="1:5" x14ac:dyDescent="0.35">
      <c r="A44">
        <v>2053</v>
      </c>
      <c r="C44">
        <f t="shared" si="0"/>
        <v>45.525307826087769</v>
      </c>
      <c r="D44" s="1">
        <f t="shared" si="1"/>
        <v>37.091357493494868</v>
      </c>
      <c r="E44" s="1">
        <f t="shared" si="2"/>
        <v>53.959258158680669</v>
      </c>
    </row>
    <row r="45" spans="1:5" x14ac:dyDescent="0.35">
      <c r="A45">
        <v>2054</v>
      </c>
      <c r="C45">
        <f t="shared" si="0"/>
        <v>46.168117720921131</v>
      </c>
      <c r="D45" s="1">
        <f t="shared" si="1"/>
        <v>37.619661915585098</v>
      </c>
      <c r="E45" s="1">
        <f t="shared" si="2"/>
        <v>54.716573526257164</v>
      </c>
    </row>
    <row r="46" spans="1:5" x14ac:dyDescent="0.35">
      <c r="A46">
        <v>2055</v>
      </c>
      <c r="C46">
        <f t="shared" si="0"/>
        <v>46.810927615754494</v>
      </c>
      <c r="D46" s="1">
        <f t="shared" si="1"/>
        <v>38.148668053726126</v>
      </c>
      <c r="E46" s="1">
        <f t="shared" si="2"/>
        <v>55.473187177782862</v>
      </c>
    </row>
    <row r="47" spans="1:5" x14ac:dyDescent="0.35">
      <c r="A47">
        <v>2056</v>
      </c>
      <c r="C47">
        <f t="shared" si="0"/>
        <v>47.453737510587857</v>
      </c>
      <c r="D47" s="1">
        <f t="shared" si="1"/>
        <v>38.678345719216253</v>
      </c>
      <c r="E47" s="1">
        <f t="shared" si="2"/>
        <v>56.22912930195946</v>
      </c>
    </row>
    <row r="48" spans="1:5" x14ac:dyDescent="0.35">
      <c r="A48">
        <v>2057</v>
      </c>
      <c r="C48">
        <f t="shared" si="0"/>
        <v>48.096547405421219</v>
      </c>
      <c r="D48" s="1">
        <f t="shared" si="1"/>
        <v>39.208666417296612</v>
      </c>
      <c r="E48" s="1">
        <f t="shared" si="2"/>
        <v>56.984428393545826</v>
      </c>
    </row>
    <row r="49" spans="1:5" x14ac:dyDescent="0.35">
      <c r="A49">
        <v>2058</v>
      </c>
      <c r="C49">
        <f t="shared" si="0"/>
        <v>48.739357300254582</v>
      </c>
      <c r="D49" s="1">
        <f t="shared" si="1"/>
        <v>39.739603219844469</v>
      </c>
      <c r="E49" s="1">
        <f t="shared" si="2"/>
        <v>57.739111380664696</v>
      </c>
    </row>
    <row r="50" spans="1:5" x14ac:dyDescent="0.35">
      <c r="A50">
        <v>2059</v>
      </c>
      <c r="C50">
        <f t="shared" si="0"/>
        <v>49.382167195087945</v>
      </c>
      <c r="D50" s="1">
        <f t="shared" si="1"/>
        <v>40.271130650030642</v>
      </c>
      <c r="E50" s="1">
        <f t="shared" si="2"/>
        <v>58.493203740145248</v>
      </c>
    </row>
    <row r="51" spans="1:5" x14ac:dyDescent="0.35">
      <c r="A51">
        <v>2060</v>
      </c>
      <c r="C51">
        <f t="shared" si="0"/>
        <v>50.024977089921308</v>
      </c>
      <c r="D51" s="1">
        <f t="shared" si="1"/>
        <v>40.803224577598975</v>
      </c>
      <c r="E51" s="1">
        <f t="shared" si="2"/>
        <v>59.24672960224364</v>
      </c>
    </row>
    <row r="52" spans="1:5" x14ac:dyDescent="0.35">
      <c r="A52">
        <v>2061</v>
      </c>
      <c r="C52">
        <f t="shared" si="0"/>
        <v>50.66778698475467</v>
      </c>
      <c r="D52" s="1">
        <f t="shared" si="1"/>
        <v>41.335862123599732</v>
      </c>
      <c r="E52" s="1">
        <f t="shared" si="2"/>
        <v>59.999711845909609</v>
      </c>
    </row>
    <row r="53" spans="1:5" x14ac:dyDescent="0.35">
      <c r="A53">
        <v>2062</v>
      </c>
      <c r="C53">
        <f t="shared" si="0"/>
        <v>51.310596879588033</v>
      </c>
      <c r="D53" s="1">
        <f t="shared" si="1"/>
        <v>41.869021573557397</v>
      </c>
      <c r="E53" s="1">
        <f t="shared" si="2"/>
        <v>60.752172185618669</v>
      </c>
    </row>
    <row r="54" spans="1:5" x14ac:dyDescent="0.35">
      <c r="A54">
        <v>2063</v>
      </c>
      <c r="C54">
        <f t="shared" si="0"/>
        <v>51.953406774421396</v>
      </c>
      <c r="D54" s="1">
        <f t="shared" si="1"/>
        <v>42.402682298180679</v>
      </c>
      <c r="E54" s="1">
        <f t="shared" si="2"/>
        <v>61.504131250662113</v>
      </c>
    </row>
    <row r="55" spans="1:5" x14ac:dyDescent="0.35">
      <c r="A55">
        <v>2064</v>
      </c>
      <c r="C55">
        <f t="shared" si="0"/>
        <v>52.596216669254758</v>
      </c>
      <c r="D55" s="1">
        <f t="shared" si="1"/>
        <v>42.936824680831663</v>
      </c>
      <c r="E55" s="1">
        <f t="shared" si="2"/>
        <v>62.255608657677854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0A9D-65AA-4B33-9AB4-CE10A4D589B5}">
  <dimension ref="A1:E66"/>
  <sheetViews>
    <sheetView topLeftCell="A7" workbookViewId="0">
      <selection activeCell="N51" sqref="N51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2011</v>
      </c>
      <c r="B2">
        <v>19.91</v>
      </c>
    </row>
    <row r="3" spans="1:5" x14ac:dyDescent="0.35">
      <c r="A3">
        <v>2012</v>
      </c>
      <c r="B3">
        <v>19.899999999999999</v>
      </c>
    </row>
    <row r="4" spans="1:5" x14ac:dyDescent="0.35">
      <c r="A4">
        <v>2013</v>
      </c>
      <c r="B4">
        <v>19.71</v>
      </c>
    </row>
    <row r="5" spans="1:5" x14ac:dyDescent="0.35">
      <c r="A5">
        <v>2014</v>
      </c>
      <c r="B5">
        <v>19.96</v>
      </c>
    </row>
    <row r="6" spans="1:5" x14ac:dyDescent="0.35">
      <c r="A6">
        <v>2015</v>
      </c>
      <c r="B6">
        <v>20.58</v>
      </c>
    </row>
    <row r="7" spans="1:5" x14ac:dyDescent="0.35">
      <c r="A7">
        <v>2016</v>
      </c>
      <c r="B7">
        <v>20.64</v>
      </c>
    </row>
    <row r="8" spans="1:5" x14ac:dyDescent="0.35">
      <c r="A8">
        <v>2017</v>
      </c>
      <c r="B8">
        <v>20.16</v>
      </c>
    </row>
    <row r="9" spans="1:5" x14ac:dyDescent="0.35">
      <c r="A9">
        <v>2018</v>
      </c>
      <c r="B9">
        <v>21.01</v>
      </c>
    </row>
    <row r="10" spans="1:5" x14ac:dyDescent="0.35">
      <c r="A10">
        <v>2019</v>
      </c>
      <c r="B10">
        <v>20.54</v>
      </c>
    </row>
    <row r="11" spans="1:5" x14ac:dyDescent="0.35">
      <c r="A11">
        <v>2020</v>
      </c>
      <c r="B11">
        <v>20.71</v>
      </c>
    </row>
    <row r="12" spans="1:5" x14ac:dyDescent="0.35">
      <c r="A12">
        <v>2021</v>
      </c>
      <c r="B12">
        <v>20.47</v>
      </c>
    </row>
    <row r="13" spans="1:5" x14ac:dyDescent="0.35">
      <c r="A13">
        <v>2022</v>
      </c>
      <c r="B13">
        <v>21.16</v>
      </c>
    </row>
    <row r="14" spans="1:5" x14ac:dyDescent="0.35">
      <c r="A14">
        <v>2023</v>
      </c>
      <c r="B14">
        <v>27.2</v>
      </c>
    </row>
    <row r="15" spans="1:5" x14ac:dyDescent="0.35">
      <c r="A15">
        <v>2024</v>
      </c>
      <c r="B15">
        <v>32.08</v>
      </c>
    </row>
    <row r="16" spans="1:5" x14ac:dyDescent="0.35">
      <c r="A16">
        <v>2025</v>
      </c>
      <c r="B16">
        <v>29</v>
      </c>
      <c r="C16">
        <v>29</v>
      </c>
      <c r="D16" s="1">
        <v>29</v>
      </c>
      <c r="E16" s="1">
        <v>29</v>
      </c>
    </row>
    <row r="17" spans="1:5" x14ac:dyDescent="0.35">
      <c r="A17">
        <v>2026</v>
      </c>
      <c r="B17">
        <v>27.7</v>
      </c>
      <c r="C17">
        <f t="shared" ref="C17:C48" si="0">_xlfn.FORECAST.ETS(A17,$B$2:$B$16,$A$2:$A$16,8,1)</f>
        <v>27.352626779448308</v>
      </c>
      <c r="D17" s="1">
        <f t="shared" ref="D17:D48" si="1">C17-_xlfn.FORECAST.ETS.CONFINT(A17,$B$2:$B$16,$A$2:$A$16,0.95,8,1)</f>
        <v>23.531354535717536</v>
      </c>
      <c r="E17" s="1">
        <f t="shared" ref="E17:E48" si="2">C17+_xlfn.FORECAST.ETS.CONFINT(A17,$B$2:$B$16,$A$2:$A$16,0.95,8,1)</f>
        <v>31.173899023179079</v>
      </c>
    </row>
    <row r="18" spans="1:5" x14ac:dyDescent="0.35">
      <c r="A18">
        <v>2027</v>
      </c>
      <c r="C18">
        <f t="shared" si="0"/>
        <v>26.901431066421004</v>
      </c>
      <c r="D18" s="1">
        <f t="shared" si="1"/>
        <v>22.625695503679587</v>
      </c>
      <c r="E18" s="1">
        <f t="shared" si="2"/>
        <v>31.177166629162421</v>
      </c>
    </row>
    <row r="19" spans="1:5" x14ac:dyDescent="0.35">
      <c r="A19">
        <v>2028</v>
      </c>
      <c r="C19">
        <f t="shared" si="0"/>
        <v>27.090516592578794</v>
      </c>
      <c r="D19" s="1">
        <f t="shared" si="1"/>
        <v>22.402619113276945</v>
      </c>
      <c r="E19" s="1">
        <f t="shared" si="2"/>
        <v>31.778414071880643</v>
      </c>
    </row>
    <row r="20" spans="1:5" x14ac:dyDescent="0.35">
      <c r="A20">
        <v>2029</v>
      </c>
      <c r="C20">
        <f t="shared" si="0"/>
        <v>26.870174074954246</v>
      </c>
      <c r="D20" s="1">
        <f t="shared" si="1"/>
        <v>21.802082196662258</v>
      </c>
      <c r="E20" s="1">
        <f t="shared" si="2"/>
        <v>31.938265953246233</v>
      </c>
    </row>
    <row r="21" spans="1:5" x14ac:dyDescent="0.35">
      <c r="A21">
        <v>2030</v>
      </c>
      <c r="C21">
        <f t="shared" si="0"/>
        <v>28.870561755015114</v>
      </c>
      <c r="D21" s="1">
        <f t="shared" si="1"/>
        <v>23.447512673748324</v>
      </c>
      <c r="E21" s="1">
        <f t="shared" si="2"/>
        <v>34.293610836281907</v>
      </c>
    </row>
    <row r="22" spans="1:5" x14ac:dyDescent="0.35">
      <c r="A22">
        <v>2031</v>
      </c>
      <c r="C22">
        <f t="shared" si="0"/>
        <v>32.123324319966336</v>
      </c>
      <c r="D22" s="1">
        <f t="shared" si="1"/>
        <v>26.365883036397236</v>
      </c>
      <c r="E22" s="1">
        <f t="shared" si="2"/>
        <v>37.880765603535437</v>
      </c>
    </row>
    <row r="23" spans="1:5" x14ac:dyDescent="0.35">
      <c r="A23">
        <v>2032</v>
      </c>
      <c r="C23">
        <f t="shared" si="0"/>
        <v>34.52086652815693</v>
      </c>
      <c r="D23" s="1">
        <f t="shared" si="1"/>
        <v>28.446198563666687</v>
      </c>
      <c r="E23" s="1">
        <f t="shared" si="2"/>
        <v>40.595534492647175</v>
      </c>
    </row>
    <row r="24" spans="1:5" x14ac:dyDescent="0.35">
      <c r="A24">
        <v>2033</v>
      </c>
      <c r="C24">
        <f t="shared" si="0"/>
        <v>32.666435125093919</v>
      </c>
      <c r="D24" s="1">
        <f t="shared" si="1"/>
        <v>26.289141594351715</v>
      </c>
      <c r="E24" s="1">
        <f t="shared" si="2"/>
        <v>39.043728655836119</v>
      </c>
    </row>
    <row r="25" spans="1:5" x14ac:dyDescent="0.35">
      <c r="A25">
        <v>2034</v>
      </c>
      <c r="C25">
        <f t="shared" si="0"/>
        <v>31.298280669138236</v>
      </c>
      <c r="D25" s="1">
        <f t="shared" si="1"/>
        <v>24.629856222900106</v>
      </c>
      <c r="E25" s="1">
        <f t="shared" si="2"/>
        <v>37.966705115376364</v>
      </c>
    </row>
    <row r="26" spans="1:5" x14ac:dyDescent="0.35">
      <c r="A26">
        <v>2035</v>
      </c>
      <c r="C26">
        <f t="shared" si="0"/>
        <v>30.84708495611093</v>
      </c>
      <c r="D26" s="1">
        <f t="shared" si="1"/>
        <v>23.899718806761506</v>
      </c>
      <c r="E26" s="1">
        <f t="shared" si="2"/>
        <v>37.794451105460354</v>
      </c>
    </row>
    <row r="27" spans="1:5" x14ac:dyDescent="0.35">
      <c r="A27">
        <v>2036</v>
      </c>
      <c r="C27">
        <f t="shared" si="0"/>
        <v>31.036170482268723</v>
      </c>
      <c r="D27" s="1">
        <f t="shared" si="1"/>
        <v>23.819605025129178</v>
      </c>
      <c r="E27" s="1">
        <f t="shared" si="2"/>
        <v>38.252735939408268</v>
      </c>
    </row>
    <row r="28" spans="1:5" x14ac:dyDescent="0.35">
      <c r="A28">
        <v>2037</v>
      </c>
      <c r="C28">
        <f t="shared" si="0"/>
        <v>30.815827964644175</v>
      </c>
      <c r="D28" s="1">
        <f t="shared" si="1"/>
        <v>23.338751293137477</v>
      </c>
      <c r="E28" s="1">
        <f t="shared" si="2"/>
        <v>38.292904636150872</v>
      </c>
    </row>
    <row r="29" spans="1:5" x14ac:dyDescent="0.35">
      <c r="A29">
        <v>2038</v>
      </c>
      <c r="C29">
        <f t="shared" si="0"/>
        <v>32.816215644705039</v>
      </c>
      <c r="D29" s="1">
        <f t="shared" si="1"/>
        <v>25.086435487378477</v>
      </c>
      <c r="E29" s="1">
        <f t="shared" si="2"/>
        <v>40.545995802031598</v>
      </c>
    </row>
    <row r="30" spans="1:5" x14ac:dyDescent="0.35">
      <c r="A30">
        <v>2039</v>
      </c>
      <c r="C30">
        <f t="shared" si="0"/>
        <v>36.068978209656265</v>
      </c>
      <c r="D30" s="1">
        <f t="shared" si="1"/>
        <v>28.093558259054788</v>
      </c>
      <c r="E30" s="1">
        <f t="shared" si="2"/>
        <v>44.044398160257742</v>
      </c>
    </row>
    <row r="31" spans="1:5" x14ac:dyDescent="0.35">
      <c r="A31">
        <v>2040</v>
      </c>
      <c r="C31">
        <f t="shared" si="0"/>
        <v>38.466520417846858</v>
      </c>
      <c r="D31" s="1">
        <f t="shared" si="1"/>
        <v>30.25188889358537</v>
      </c>
      <c r="E31" s="1">
        <f t="shared" si="2"/>
        <v>46.681151942108343</v>
      </c>
    </row>
    <row r="32" spans="1:5" x14ac:dyDescent="0.35">
      <c r="A32">
        <v>2041</v>
      </c>
      <c r="C32">
        <f t="shared" si="0"/>
        <v>36.612089014783855</v>
      </c>
      <c r="D32" s="1">
        <f t="shared" si="1"/>
        <v>28.164126327978337</v>
      </c>
      <c r="E32" s="1">
        <f t="shared" si="2"/>
        <v>45.060051701589373</v>
      </c>
    </row>
    <row r="33" spans="1:5" x14ac:dyDescent="0.35">
      <c r="A33">
        <v>2042</v>
      </c>
      <c r="C33">
        <f t="shared" si="0"/>
        <v>35.243934558828172</v>
      </c>
      <c r="D33" s="1">
        <f t="shared" si="1"/>
        <v>26.567174032957155</v>
      </c>
      <c r="E33" s="1">
        <f t="shared" si="2"/>
        <v>43.92069508469919</v>
      </c>
    </row>
    <row r="34" spans="1:5" x14ac:dyDescent="0.35">
      <c r="A34">
        <v>2043</v>
      </c>
      <c r="C34">
        <f t="shared" si="0"/>
        <v>34.792738845800862</v>
      </c>
      <c r="D34" s="1">
        <f t="shared" si="1"/>
        <v>25.893060599427642</v>
      </c>
      <c r="E34" s="1">
        <f t="shared" si="2"/>
        <v>43.692417092174082</v>
      </c>
    </row>
    <row r="35" spans="1:5" x14ac:dyDescent="0.35">
      <c r="A35">
        <v>2044</v>
      </c>
      <c r="C35">
        <f t="shared" si="0"/>
        <v>34.981824371958659</v>
      </c>
      <c r="D35" s="1">
        <f t="shared" si="1"/>
        <v>25.863846802635386</v>
      </c>
      <c r="E35" s="1">
        <f t="shared" si="2"/>
        <v>44.099801941281932</v>
      </c>
    </row>
    <row r="36" spans="1:5" x14ac:dyDescent="0.35">
      <c r="A36">
        <v>2045</v>
      </c>
      <c r="C36">
        <f t="shared" si="0"/>
        <v>34.761481854334107</v>
      </c>
      <c r="D36" s="1">
        <f t="shared" si="1"/>
        <v>25.429497680285294</v>
      </c>
      <c r="E36" s="1">
        <f t="shared" si="2"/>
        <v>44.09346602838292</v>
      </c>
    </row>
    <row r="37" spans="1:5" x14ac:dyDescent="0.35">
      <c r="A37">
        <v>2046</v>
      </c>
      <c r="C37">
        <f t="shared" si="0"/>
        <v>36.761869534394968</v>
      </c>
      <c r="D37" s="1">
        <f t="shared" si="1"/>
        <v>27.219881109372778</v>
      </c>
      <c r="E37" s="1">
        <f t="shared" si="2"/>
        <v>46.303857959417158</v>
      </c>
    </row>
    <row r="38" spans="1:5" x14ac:dyDescent="0.35">
      <c r="A38">
        <v>2047</v>
      </c>
      <c r="C38">
        <f t="shared" si="0"/>
        <v>40.014632099346194</v>
      </c>
      <c r="D38" s="1">
        <f t="shared" si="1"/>
        <v>30.266381610432546</v>
      </c>
      <c r="E38" s="1">
        <f t="shared" si="2"/>
        <v>49.762882588259842</v>
      </c>
    </row>
    <row r="39" spans="1:5" x14ac:dyDescent="0.35">
      <c r="A39">
        <v>2048</v>
      </c>
      <c r="C39">
        <f t="shared" si="0"/>
        <v>42.412174307536787</v>
      </c>
      <c r="D39" s="1">
        <f t="shared" si="1"/>
        <v>32.46116977015545</v>
      </c>
      <c r="E39" s="1">
        <f t="shared" si="2"/>
        <v>52.363178844918124</v>
      </c>
    </row>
    <row r="40" spans="1:5" x14ac:dyDescent="0.35">
      <c r="A40">
        <v>2049</v>
      </c>
      <c r="C40">
        <f t="shared" si="0"/>
        <v>40.557742904473784</v>
      </c>
      <c r="D40" s="1">
        <f t="shared" si="1"/>
        <v>30.40728067693771</v>
      </c>
      <c r="E40" s="1">
        <f t="shared" si="2"/>
        <v>50.708205132009859</v>
      </c>
    </row>
    <row r="41" spans="1:5" x14ac:dyDescent="0.35">
      <c r="A41">
        <v>2050</v>
      </c>
      <c r="C41">
        <f t="shared" si="0"/>
        <v>39.189588448518101</v>
      </c>
      <c r="D41" s="1">
        <f t="shared" si="1"/>
        <v>28.842031248020639</v>
      </c>
      <c r="E41" s="1">
        <f t="shared" si="2"/>
        <v>49.537145649015564</v>
      </c>
    </row>
    <row r="42" spans="1:5" x14ac:dyDescent="0.35">
      <c r="A42">
        <v>2051</v>
      </c>
      <c r="C42">
        <f t="shared" si="0"/>
        <v>38.738392735490798</v>
      </c>
      <c r="D42" s="1">
        <f t="shared" si="1"/>
        <v>28.197425199135463</v>
      </c>
      <c r="E42" s="1">
        <f t="shared" si="2"/>
        <v>49.27936027184613</v>
      </c>
    </row>
    <row r="43" spans="1:5" x14ac:dyDescent="0.35">
      <c r="A43">
        <v>2052</v>
      </c>
      <c r="C43">
        <f t="shared" si="0"/>
        <v>38.927478261648581</v>
      </c>
      <c r="D43" s="1">
        <f t="shared" si="1"/>
        <v>28.19586937847404</v>
      </c>
      <c r="E43" s="1">
        <f t="shared" si="2"/>
        <v>49.659087144823118</v>
      </c>
    </row>
    <row r="44" spans="1:5" x14ac:dyDescent="0.35">
      <c r="A44">
        <v>2053</v>
      </c>
      <c r="C44">
        <f t="shared" si="0"/>
        <v>38.707135744024043</v>
      </c>
      <c r="D44" s="1">
        <f t="shared" si="1"/>
        <v>27.787508136884185</v>
      </c>
      <c r="E44" s="1">
        <f t="shared" si="2"/>
        <v>49.626763351163902</v>
      </c>
    </row>
    <row r="45" spans="1:5" x14ac:dyDescent="0.35">
      <c r="A45">
        <v>2054</v>
      </c>
      <c r="C45">
        <f t="shared" si="0"/>
        <v>40.707523424084897</v>
      </c>
      <c r="D45" s="1">
        <f t="shared" si="1"/>
        <v>29.60236519116085</v>
      </c>
      <c r="E45" s="1">
        <f t="shared" si="2"/>
        <v>51.812681657008945</v>
      </c>
    </row>
    <row r="46" spans="1:5" x14ac:dyDescent="0.35">
      <c r="A46">
        <v>2055</v>
      </c>
      <c r="C46">
        <f t="shared" si="0"/>
        <v>43.960285989036123</v>
      </c>
      <c r="D46" s="1">
        <f t="shared" si="1"/>
        <v>32.67196125395327</v>
      </c>
      <c r="E46" s="1">
        <f t="shared" si="2"/>
        <v>55.248610724118976</v>
      </c>
    </row>
    <row r="47" spans="1:5" x14ac:dyDescent="0.35">
      <c r="A47">
        <v>2056</v>
      </c>
      <c r="C47">
        <f t="shared" si="0"/>
        <v>46.357828197226716</v>
      </c>
      <c r="D47" s="1">
        <f t="shared" si="1"/>
        <v>34.888586543043033</v>
      </c>
      <c r="E47" s="1">
        <f t="shared" si="2"/>
        <v>57.8270698514104</v>
      </c>
    </row>
    <row r="48" spans="1:5" x14ac:dyDescent="0.35">
      <c r="A48">
        <v>2057</v>
      </c>
      <c r="C48">
        <f t="shared" si="0"/>
        <v>44.503396794163713</v>
      </c>
      <c r="D48" s="1">
        <f t="shared" si="1"/>
        <v>32.855381728296933</v>
      </c>
      <c r="E48" s="1">
        <f t="shared" si="2"/>
        <v>56.151411860030493</v>
      </c>
    </row>
    <row r="49" spans="1:5" x14ac:dyDescent="0.35">
      <c r="A49">
        <v>2058</v>
      </c>
      <c r="C49">
        <f t="shared" ref="C49:C66" si="3">_xlfn.FORECAST.ETS(A49,$B$2:$B$16,$A$2:$A$16,8,1)</f>
        <v>43.13524233820803</v>
      </c>
      <c r="D49" s="1">
        <f t="shared" ref="D49:D80" si="4">C49-_xlfn.FORECAST.ETS.CONFINT(A49,$B$2:$B$16,$A$2:$A$16,0.95,8,1)</f>
        <v>31.30984012304323</v>
      </c>
      <c r="E49" s="1">
        <f t="shared" ref="E49:E66" si="5">C49+_xlfn.FORECAST.ETS.CONFINT(A49,$B$2:$B$16,$A$2:$A$16,0.95,8,1)</f>
        <v>54.960644553372831</v>
      </c>
    </row>
    <row r="50" spans="1:5" x14ac:dyDescent="0.35">
      <c r="A50">
        <v>2059</v>
      </c>
      <c r="C50">
        <f t="shared" si="3"/>
        <v>42.684046625180727</v>
      </c>
      <c r="D50" s="1">
        <f t="shared" si="4"/>
        <v>30.683879121091891</v>
      </c>
      <c r="E50" s="1">
        <f t="shared" si="5"/>
        <v>54.684214129269563</v>
      </c>
    </row>
    <row r="51" spans="1:5" x14ac:dyDescent="0.35">
      <c r="A51">
        <v>2060</v>
      </c>
      <c r="C51">
        <f t="shared" si="3"/>
        <v>42.873132151338517</v>
      </c>
      <c r="D51" s="1">
        <f t="shared" si="4"/>
        <v>30.700067115370665</v>
      </c>
      <c r="E51" s="1">
        <f t="shared" si="5"/>
        <v>55.046197187306369</v>
      </c>
    </row>
    <row r="52" spans="1:5" x14ac:dyDescent="0.35">
      <c r="A52">
        <v>2061</v>
      </c>
      <c r="C52">
        <f t="shared" si="3"/>
        <v>42.652789633713965</v>
      </c>
      <c r="D52" s="1">
        <f t="shared" si="4"/>
        <v>30.30861515804294</v>
      </c>
      <c r="E52" s="1">
        <f t="shared" si="5"/>
        <v>54.99696410938499</v>
      </c>
    </row>
    <row r="53" spans="1:5" x14ac:dyDescent="0.35">
      <c r="A53">
        <v>2062</v>
      </c>
      <c r="C53">
        <f t="shared" si="3"/>
        <v>44.653177313774833</v>
      </c>
      <c r="D53" s="1">
        <f t="shared" si="4"/>
        <v>32.139606972815081</v>
      </c>
      <c r="E53" s="1">
        <f t="shared" si="5"/>
        <v>57.166747654734586</v>
      </c>
    </row>
    <row r="54" spans="1:5" x14ac:dyDescent="0.35">
      <c r="A54">
        <v>2063</v>
      </c>
      <c r="C54">
        <f t="shared" si="3"/>
        <v>47.905939878726052</v>
      </c>
      <c r="D54" s="1">
        <f t="shared" si="4"/>
        <v>35.224617425954619</v>
      </c>
      <c r="E54" s="1">
        <f t="shared" si="5"/>
        <v>60.587262331497485</v>
      </c>
    </row>
    <row r="55" spans="1:5" x14ac:dyDescent="0.35">
      <c r="A55">
        <v>2064</v>
      </c>
      <c r="C55">
        <f t="shared" si="3"/>
        <v>50.303482086916645</v>
      </c>
      <c r="D55" s="1">
        <f t="shared" si="4"/>
        <v>37.455985750699881</v>
      </c>
      <c r="E55" s="1">
        <f t="shared" si="5"/>
        <v>63.150978423133409</v>
      </c>
    </row>
    <row r="56" spans="1:5" x14ac:dyDescent="0.35">
      <c r="A56">
        <v>2065</v>
      </c>
      <c r="C56">
        <f t="shared" si="3"/>
        <v>48.449050683853642</v>
      </c>
      <c r="D56" s="1">
        <f t="shared" si="4"/>
        <v>35.436897105133269</v>
      </c>
      <c r="E56" s="1">
        <f t="shared" si="5"/>
        <v>61.461204262574014</v>
      </c>
    </row>
    <row r="57" spans="1:5" x14ac:dyDescent="0.35">
      <c r="A57">
        <v>2066</v>
      </c>
      <c r="C57">
        <f t="shared" si="3"/>
        <v>47.080896227897959</v>
      </c>
      <c r="D57" s="1">
        <f t="shared" si="4"/>
        <v>33.904943951331191</v>
      </c>
      <c r="E57" s="1">
        <f t="shared" si="5"/>
        <v>60.256848504464728</v>
      </c>
    </row>
    <row r="58" spans="1:5" x14ac:dyDescent="0.35">
      <c r="A58">
        <v>2067</v>
      </c>
      <c r="C58">
        <f t="shared" si="3"/>
        <v>46.629700514870656</v>
      </c>
      <c r="D58" s="1">
        <f t="shared" si="4"/>
        <v>33.291960975033909</v>
      </c>
      <c r="E58" s="1">
        <f t="shared" si="5"/>
        <v>59.967440054707403</v>
      </c>
    </row>
    <row r="59" spans="1:5" x14ac:dyDescent="0.35">
      <c r="A59">
        <v>2068</v>
      </c>
      <c r="C59">
        <f t="shared" si="3"/>
        <v>46.818786041028446</v>
      </c>
      <c r="D59" s="1">
        <f t="shared" si="4"/>
        <v>33.320611461753757</v>
      </c>
      <c r="E59" s="1">
        <f t="shared" si="5"/>
        <v>60.316960620303135</v>
      </c>
    </row>
    <row r="60" spans="1:5" x14ac:dyDescent="0.35">
      <c r="A60">
        <v>2069</v>
      </c>
      <c r="C60">
        <f t="shared" si="3"/>
        <v>46.598443523403901</v>
      </c>
      <c r="D60" s="1">
        <f t="shared" si="4"/>
        <v>32.941137404744666</v>
      </c>
      <c r="E60" s="1">
        <f t="shared" si="5"/>
        <v>60.255749642063137</v>
      </c>
    </row>
    <row r="61" spans="1:5" x14ac:dyDescent="0.35">
      <c r="A61">
        <v>2070</v>
      </c>
      <c r="C61">
        <f t="shared" si="3"/>
        <v>48.598831203464755</v>
      </c>
      <c r="D61" s="1">
        <f t="shared" si="4"/>
        <v>34.783650944947098</v>
      </c>
      <c r="E61" s="1">
        <f t="shared" si="5"/>
        <v>62.414011461982412</v>
      </c>
    </row>
    <row r="62" spans="1:5" x14ac:dyDescent="0.35">
      <c r="A62">
        <v>2071</v>
      </c>
      <c r="C62">
        <f t="shared" si="3"/>
        <v>51.851593768415988</v>
      </c>
      <c r="D62" s="1">
        <f t="shared" si="4"/>
        <v>37.879753100611055</v>
      </c>
      <c r="E62" s="1">
        <f t="shared" si="5"/>
        <v>65.823434436220921</v>
      </c>
    </row>
    <row r="63" spans="1:5" x14ac:dyDescent="0.35">
      <c r="A63">
        <v>2072</v>
      </c>
      <c r="C63">
        <f t="shared" si="3"/>
        <v>54.249135976606574</v>
      </c>
      <c r="D63" s="1">
        <f t="shared" si="4"/>
        <v>40.121807218607579</v>
      </c>
      <c r="E63" s="1">
        <f t="shared" si="5"/>
        <v>68.376464734605563</v>
      </c>
    </row>
    <row r="64" spans="1:5" x14ac:dyDescent="0.35">
      <c r="A64">
        <v>2073</v>
      </c>
      <c r="C64">
        <f t="shared" si="3"/>
        <v>52.394704573543578</v>
      </c>
      <c r="D64" s="1">
        <f t="shared" si="4"/>
        <v>38.113020732001921</v>
      </c>
      <c r="E64" s="1">
        <f t="shared" si="5"/>
        <v>66.676388415085228</v>
      </c>
    </row>
    <row r="65" spans="1:5" x14ac:dyDescent="0.35">
      <c r="A65">
        <v>2074</v>
      </c>
      <c r="C65">
        <f t="shared" si="3"/>
        <v>51.026550117587888</v>
      </c>
      <c r="D65" s="1">
        <f t="shared" si="4"/>
        <v>36.591050987946893</v>
      </c>
      <c r="E65" s="1">
        <f t="shared" si="5"/>
        <v>65.46204924722889</v>
      </c>
    </row>
    <row r="66" spans="1:5" x14ac:dyDescent="0.35">
      <c r="A66">
        <v>2075</v>
      </c>
      <c r="C66">
        <f t="shared" si="3"/>
        <v>50.575354404560585</v>
      </c>
      <c r="D66" s="1">
        <f t="shared" si="4"/>
        <v>35.987661753082769</v>
      </c>
      <c r="E66" s="1">
        <f t="shared" si="5"/>
        <v>65.163047056038394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95E8-B102-4A2D-9F5B-302CD07B44A7}">
  <dimension ref="A1:E67"/>
  <sheetViews>
    <sheetView topLeftCell="A16" workbookViewId="0">
      <selection activeCell="H40" sqref="H40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2011</v>
      </c>
      <c r="B2">
        <v>19.91</v>
      </c>
    </row>
    <row r="3" spans="1:5" x14ac:dyDescent="0.35">
      <c r="A3">
        <v>2012</v>
      </c>
      <c r="B3">
        <v>19.899999999999999</v>
      </c>
    </row>
    <row r="4" spans="1:5" x14ac:dyDescent="0.35">
      <c r="A4">
        <v>2013</v>
      </c>
      <c r="B4">
        <v>19.71</v>
      </c>
    </row>
    <row r="5" spans="1:5" x14ac:dyDescent="0.35">
      <c r="A5">
        <v>2014</v>
      </c>
      <c r="B5">
        <v>19.96</v>
      </c>
    </row>
    <row r="6" spans="1:5" x14ac:dyDescent="0.35">
      <c r="A6">
        <v>2015</v>
      </c>
      <c r="B6">
        <v>20.58</v>
      </c>
    </row>
    <row r="7" spans="1:5" x14ac:dyDescent="0.35">
      <c r="A7">
        <v>2016</v>
      </c>
      <c r="B7">
        <v>20.64</v>
      </c>
    </row>
    <row r="8" spans="1:5" x14ac:dyDescent="0.35">
      <c r="A8">
        <v>2017</v>
      </c>
      <c r="B8">
        <v>20.16</v>
      </c>
    </row>
    <row r="9" spans="1:5" x14ac:dyDescent="0.35">
      <c r="A9">
        <v>2018</v>
      </c>
      <c r="B9">
        <v>21.01</v>
      </c>
    </row>
    <row r="10" spans="1:5" x14ac:dyDescent="0.35">
      <c r="A10">
        <v>2019</v>
      </c>
      <c r="B10">
        <v>20.54</v>
      </c>
    </row>
    <row r="11" spans="1:5" x14ac:dyDescent="0.35">
      <c r="A11">
        <v>2020</v>
      </c>
      <c r="B11">
        <v>20.71</v>
      </c>
    </row>
    <row r="12" spans="1:5" x14ac:dyDescent="0.35">
      <c r="A12">
        <v>2021</v>
      </c>
      <c r="B12">
        <v>20.47</v>
      </c>
    </row>
    <row r="13" spans="1:5" x14ac:dyDescent="0.35">
      <c r="A13">
        <v>2022</v>
      </c>
      <c r="B13">
        <v>21.16</v>
      </c>
    </row>
    <row r="14" spans="1:5" x14ac:dyDescent="0.35">
      <c r="A14">
        <v>2023</v>
      </c>
      <c r="B14">
        <v>27.2</v>
      </c>
    </row>
    <row r="15" spans="1:5" x14ac:dyDescent="0.35">
      <c r="A15">
        <v>2024</v>
      </c>
      <c r="B15">
        <v>32.08</v>
      </c>
    </row>
    <row r="16" spans="1:5" x14ac:dyDescent="0.35">
      <c r="A16">
        <v>2025</v>
      </c>
      <c r="B16">
        <v>29</v>
      </c>
    </row>
    <row r="17" spans="1:5" x14ac:dyDescent="0.35">
      <c r="A17">
        <v>2026</v>
      </c>
      <c r="B17">
        <v>27.7</v>
      </c>
      <c r="C17">
        <v>27.7</v>
      </c>
      <c r="D17" s="1">
        <v>27.7</v>
      </c>
      <c r="E17" s="1">
        <v>27.7</v>
      </c>
    </row>
    <row r="18" spans="1:5" x14ac:dyDescent="0.35">
      <c r="A18">
        <v>2027</v>
      </c>
      <c r="C18">
        <f t="shared" ref="C18:C49" si="0">_xlfn.FORECAST.ETS(A18,$B$2:$B$17,$A$2:$A$17,6,1)</f>
        <v>28.509370630992013</v>
      </c>
      <c r="D18" s="1">
        <f t="shared" ref="D18:D49" si="1">C18-_xlfn.FORECAST.ETS.CONFINT(A18,$B$2:$B$17,$A$2:$A$17,0.95,6,1)</f>
        <v>23.843198721075403</v>
      </c>
      <c r="E18" s="1">
        <f t="shared" ref="E18:E49" si="2">C18+_xlfn.FORECAST.ETS.CONFINT(A18,$B$2:$B$17,$A$2:$A$17,0.95,6,1)</f>
        <v>33.175542540908623</v>
      </c>
    </row>
    <row r="19" spans="1:5" x14ac:dyDescent="0.35">
      <c r="A19">
        <v>2028</v>
      </c>
      <c r="C19">
        <f t="shared" si="0"/>
        <v>29.762725971583215</v>
      </c>
      <c r="D19" s="1">
        <f t="shared" si="1"/>
        <v>23.927210187074721</v>
      </c>
      <c r="E19" s="1">
        <f t="shared" si="2"/>
        <v>35.59824175609171</v>
      </c>
    </row>
    <row r="20" spans="1:5" x14ac:dyDescent="0.35">
      <c r="A20">
        <v>2029</v>
      </c>
      <c r="C20">
        <f t="shared" si="0"/>
        <v>31.243639148603229</v>
      </c>
      <c r="D20" s="1">
        <f t="shared" si="1"/>
        <v>24.434376801658374</v>
      </c>
      <c r="E20" s="1">
        <f t="shared" si="2"/>
        <v>38.052901495548085</v>
      </c>
    </row>
    <row r="21" spans="1:5" x14ac:dyDescent="0.35">
      <c r="A21">
        <v>2030</v>
      </c>
      <c r="C21">
        <f t="shared" si="0"/>
        <v>31.917710028929129</v>
      </c>
      <c r="D21" s="1">
        <f t="shared" si="1"/>
        <v>24.255358460772328</v>
      </c>
      <c r="E21" s="1">
        <f t="shared" si="2"/>
        <v>39.58006159708593</v>
      </c>
    </row>
    <row r="22" spans="1:5" x14ac:dyDescent="0.35">
      <c r="A22">
        <v>2031</v>
      </c>
      <c r="C22">
        <f t="shared" si="0"/>
        <v>30.589880843211962</v>
      </c>
      <c r="D22" s="1">
        <f t="shared" si="1"/>
        <v>22.15839096590615</v>
      </c>
      <c r="E22" s="1">
        <f t="shared" si="2"/>
        <v>39.021370720517773</v>
      </c>
    </row>
    <row r="23" spans="1:5" x14ac:dyDescent="0.35">
      <c r="A23">
        <v>2032</v>
      </c>
      <c r="C23">
        <f t="shared" si="0"/>
        <v>31.196972450183669</v>
      </c>
      <c r="D23" s="1">
        <f t="shared" si="1"/>
        <v>22.059069668523769</v>
      </c>
      <c r="E23" s="1">
        <f t="shared" si="2"/>
        <v>40.334875231843569</v>
      </c>
    </row>
    <row r="24" spans="1:5" x14ac:dyDescent="0.35">
      <c r="A24">
        <v>2033</v>
      </c>
      <c r="C24">
        <f t="shared" si="0"/>
        <v>32.003797182842469</v>
      </c>
      <c r="D24" s="1">
        <f t="shared" si="1"/>
        <v>21.732833086327538</v>
      </c>
      <c r="E24" s="1">
        <f t="shared" si="2"/>
        <v>42.274761279357399</v>
      </c>
    </row>
    <row r="25" spans="1:5" x14ac:dyDescent="0.35">
      <c r="A25">
        <v>2034</v>
      </c>
      <c r="C25">
        <f t="shared" si="0"/>
        <v>33.25715252343366</v>
      </c>
      <c r="D25" s="1">
        <f t="shared" si="1"/>
        <v>22.395762593752384</v>
      </c>
      <c r="E25" s="1">
        <f t="shared" si="2"/>
        <v>44.118542453114941</v>
      </c>
    </row>
    <row r="26" spans="1:5" x14ac:dyDescent="0.35">
      <c r="A26">
        <v>2035</v>
      </c>
      <c r="C26">
        <f t="shared" si="0"/>
        <v>34.738065700453674</v>
      </c>
      <c r="D26" s="1">
        <f t="shared" si="1"/>
        <v>23.315287348620497</v>
      </c>
      <c r="E26" s="1">
        <f t="shared" si="2"/>
        <v>46.160844052286848</v>
      </c>
    </row>
    <row r="27" spans="1:5" x14ac:dyDescent="0.35">
      <c r="A27">
        <v>2036</v>
      </c>
      <c r="C27">
        <f t="shared" si="0"/>
        <v>35.412136580779574</v>
      </c>
      <c r="D27" s="1">
        <f t="shared" si="1"/>
        <v>23.452915484495762</v>
      </c>
      <c r="E27" s="1">
        <f t="shared" si="2"/>
        <v>47.371357677063386</v>
      </c>
    </row>
    <row r="28" spans="1:5" x14ac:dyDescent="0.35">
      <c r="A28">
        <v>2037</v>
      </c>
      <c r="C28">
        <f t="shared" si="0"/>
        <v>34.08430739506241</v>
      </c>
      <c r="D28" s="1">
        <f t="shared" si="1"/>
        <v>21.610368698124066</v>
      </c>
      <c r="E28" s="1">
        <f t="shared" si="2"/>
        <v>46.558246092000758</v>
      </c>
    </row>
    <row r="29" spans="1:5" x14ac:dyDescent="0.35">
      <c r="A29">
        <v>2038</v>
      </c>
      <c r="C29">
        <f t="shared" si="0"/>
        <v>34.691399002034117</v>
      </c>
      <c r="D29" s="1">
        <f t="shared" si="1"/>
        <v>21.721879312509863</v>
      </c>
      <c r="E29" s="1">
        <f t="shared" si="2"/>
        <v>47.660918691558372</v>
      </c>
    </row>
    <row r="30" spans="1:5" x14ac:dyDescent="0.35">
      <c r="A30">
        <v>2039</v>
      </c>
      <c r="C30">
        <f t="shared" si="0"/>
        <v>35.498223734692914</v>
      </c>
      <c r="D30" s="1">
        <f t="shared" si="1"/>
        <v>21.697381537613374</v>
      </c>
      <c r="E30" s="1">
        <f t="shared" si="2"/>
        <v>49.299065931772454</v>
      </c>
    </row>
    <row r="31" spans="1:5" x14ac:dyDescent="0.35">
      <c r="A31">
        <v>2040</v>
      </c>
      <c r="C31">
        <f t="shared" si="0"/>
        <v>36.751579075284113</v>
      </c>
      <c r="D31" s="1">
        <f t="shared" si="1"/>
        <v>22.498898474665658</v>
      </c>
      <c r="E31" s="1">
        <f t="shared" si="2"/>
        <v>51.004259675902567</v>
      </c>
    </row>
    <row r="32" spans="1:5" x14ac:dyDescent="0.35">
      <c r="A32">
        <v>2041</v>
      </c>
      <c r="C32">
        <f t="shared" si="0"/>
        <v>38.23249225230412</v>
      </c>
      <c r="D32" s="1">
        <f t="shared" si="1"/>
        <v>23.540732287154704</v>
      </c>
      <c r="E32" s="1">
        <f t="shared" si="2"/>
        <v>52.924252217453535</v>
      </c>
    </row>
    <row r="33" spans="1:5" x14ac:dyDescent="0.35">
      <c r="A33">
        <v>2042</v>
      </c>
      <c r="C33">
        <f t="shared" si="0"/>
        <v>38.906563132630026</v>
      </c>
      <c r="D33" s="1">
        <f t="shared" si="1"/>
        <v>23.787369747863217</v>
      </c>
      <c r="E33" s="1">
        <f t="shared" si="2"/>
        <v>54.025756517396836</v>
      </c>
    </row>
    <row r="34" spans="1:5" x14ac:dyDescent="0.35">
      <c r="A34">
        <v>2043</v>
      </c>
      <c r="C34">
        <f t="shared" si="0"/>
        <v>37.578733946912863</v>
      </c>
      <c r="D34" s="1">
        <f t="shared" si="1"/>
        <v>22.042790427229413</v>
      </c>
      <c r="E34" s="1">
        <f t="shared" si="2"/>
        <v>53.114677466596312</v>
      </c>
    </row>
    <row r="35" spans="1:5" x14ac:dyDescent="0.35">
      <c r="A35">
        <v>2044</v>
      </c>
      <c r="C35">
        <f t="shared" si="0"/>
        <v>38.185825553884563</v>
      </c>
      <c r="D35" s="1">
        <f t="shared" si="1"/>
        <v>22.242976004875416</v>
      </c>
      <c r="E35" s="1">
        <f t="shared" si="2"/>
        <v>54.128675102893709</v>
      </c>
    </row>
    <row r="36" spans="1:5" x14ac:dyDescent="0.35">
      <c r="A36">
        <v>2045</v>
      </c>
      <c r="C36">
        <f t="shared" si="0"/>
        <v>38.992650286543366</v>
      </c>
      <c r="D36" s="1">
        <f t="shared" si="1"/>
        <v>22.358522959613378</v>
      </c>
      <c r="E36" s="1">
        <f t="shared" si="2"/>
        <v>55.626777613473351</v>
      </c>
    </row>
    <row r="37" spans="1:5" x14ac:dyDescent="0.35">
      <c r="A37">
        <v>2046</v>
      </c>
      <c r="C37">
        <f t="shared" si="0"/>
        <v>40.246005627134558</v>
      </c>
      <c r="D37" s="1">
        <f t="shared" si="1"/>
        <v>23.229249479957581</v>
      </c>
      <c r="E37" s="1">
        <f t="shared" si="2"/>
        <v>57.262761774311535</v>
      </c>
    </row>
    <row r="38" spans="1:5" x14ac:dyDescent="0.35">
      <c r="A38">
        <v>2047</v>
      </c>
      <c r="C38">
        <f t="shared" si="0"/>
        <v>41.726918804154572</v>
      </c>
      <c r="D38" s="1">
        <f t="shared" si="1"/>
        <v>24.334986866898642</v>
      </c>
      <c r="E38" s="1">
        <f t="shared" si="2"/>
        <v>59.118850741410498</v>
      </c>
    </row>
    <row r="39" spans="1:5" x14ac:dyDescent="0.35">
      <c r="A39">
        <v>2048</v>
      </c>
      <c r="C39">
        <f t="shared" si="0"/>
        <v>42.400989684480479</v>
      </c>
      <c r="D39" s="1">
        <f t="shared" si="1"/>
        <v>24.640861427966911</v>
      </c>
      <c r="E39" s="1">
        <f t="shared" si="2"/>
        <v>60.161117940994046</v>
      </c>
    </row>
    <row r="40" spans="1:5" x14ac:dyDescent="0.35">
      <c r="A40">
        <v>2049</v>
      </c>
      <c r="C40">
        <f t="shared" si="0"/>
        <v>41.073160498763308</v>
      </c>
      <c r="D40" s="1">
        <f t="shared" si="1"/>
        <v>22.951388762759894</v>
      </c>
      <c r="E40" s="1">
        <f t="shared" si="2"/>
        <v>59.194932234766725</v>
      </c>
    </row>
    <row r="41" spans="1:5" x14ac:dyDescent="0.35">
      <c r="A41">
        <v>2050</v>
      </c>
      <c r="C41">
        <f t="shared" si="0"/>
        <v>41.680252105735015</v>
      </c>
      <c r="D41" s="1">
        <f t="shared" si="1"/>
        <v>23.203003783853713</v>
      </c>
      <c r="E41" s="1">
        <f t="shared" si="2"/>
        <v>60.157500427616313</v>
      </c>
    </row>
    <row r="42" spans="1:5" x14ac:dyDescent="0.35">
      <c r="A42">
        <v>2051</v>
      </c>
      <c r="C42">
        <f t="shared" si="0"/>
        <v>42.487076838393811</v>
      </c>
      <c r="D42" s="1">
        <f t="shared" si="1"/>
        <v>23.403184436249319</v>
      </c>
      <c r="E42" s="1">
        <f t="shared" si="2"/>
        <v>61.570969240538304</v>
      </c>
    </row>
    <row r="43" spans="1:5" x14ac:dyDescent="0.35">
      <c r="A43">
        <v>2052</v>
      </c>
      <c r="C43">
        <f t="shared" si="0"/>
        <v>43.74043217898501</v>
      </c>
      <c r="D43" s="1">
        <f t="shared" si="1"/>
        <v>24.316929569580392</v>
      </c>
      <c r="E43" s="1">
        <f t="shared" si="2"/>
        <v>63.163934788389625</v>
      </c>
    </row>
    <row r="44" spans="1:5" x14ac:dyDescent="0.35">
      <c r="A44">
        <v>2053</v>
      </c>
      <c r="C44">
        <f t="shared" si="0"/>
        <v>45.221345356005024</v>
      </c>
      <c r="D44" s="1">
        <f t="shared" si="1"/>
        <v>25.463214670383913</v>
      </c>
      <c r="E44" s="1">
        <f t="shared" si="2"/>
        <v>64.979476041626128</v>
      </c>
    </row>
    <row r="45" spans="1:5" x14ac:dyDescent="0.35">
      <c r="A45">
        <v>2054</v>
      </c>
      <c r="C45">
        <f t="shared" si="0"/>
        <v>45.895416236330924</v>
      </c>
      <c r="D45" s="1">
        <f t="shared" si="1"/>
        <v>25.807389541790926</v>
      </c>
      <c r="E45" s="1">
        <f t="shared" si="2"/>
        <v>65.983442930870922</v>
      </c>
    </row>
    <row r="46" spans="1:5" x14ac:dyDescent="0.35">
      <c r="A46">
        <v>2055</v>
      </c>
      <c r="C46">
        <f t="shared" si="0"/>
        <v>44.567587050613753</v>
      </c>
      <c r="D46" s="1">
        <f t="shared" si="1"/>
        <v>24.154165925401152</v>
      </c>
      <c r="E46" s="1">
        <f t="shared" si="2"/>
        <v>64.981008175826361</v>
      </c>
    </row>
    <row r="47" spans="1:5" x14ac:dyDescent="0.35">
      <c r="A47">
        <v>2056</v>
      </c>
      <c r="C47">
        <f t="shared" si="0"/>
        <v>45.17467865758546</v>
      </c>
      <c r="D47" s="1">
        <f t="shared" si="1"/>
        <v>24.440151694074174</v>
      </c>
      <c r="E47" s="1">
        <f t="shared" si="2"/>
        <v>65.909205621096746</v>
      </c>
    </row>
    <row r="48" spans="1:5" x14ac:dyDescent="0.35">
      <c r="A48">
        <v>2057</v>
      </c>
      <c r="C48">
        <f t="shared" si="0"/>
        <v>45.981503390244264</v>
      </c>
      <c r="D48" s="1">
        <f t="shared" si="1"/>
        <v>24.698295849596974</v>
      </c>
      <c r="E48" s="1">
        <f t="shared" si="2"/>
        <v>67.264710930891553</v>
      </c>
    </row>
    <row r="49" spans="1:5" x14ac:dyDescent="0.35">
      <c r="A49">
        <v>2058</v>
      </c>
      <c r="C49">
        <f t="shared" si="0"/>
        <v>47.234858730835462</v>
      </c>
      <c r="D49" s="1">
        <f t="shared" si="1"/>
        <v>25.641903818557246</v>
      </c>
      <c r="E49" s="1">
        <f t="shared" si="2"/>
        <v>68.827813643113672</v>
      </c>
    </row>
    <row r="50" spans="1:5" x14ac:dyDescent="0.35">
      <c r="A50">
        <v>2059</v>
      </c>
      <c r="C50">
        <f t="shared" ref="C50:C67" si="3">_xlfn.FORECAST.ETS(A50,$B$2:$B$17,$A$2:$A$17,6,1)</f>
        <v>48.715771907855469</v>
      </c>
      <c r="D50" s="1">
        <f t="shared" ref="D50:D81" si="4">C50-_xlfn.FORECAST.ETS.CONFINT(A50,$B$2:$B$17,$A$2:$A$17,0.95,6,1)</f>
        <v>26.816673480782445</v>
      </c>
      <c r="E50" s="1">
        <f t="shared" ref="E50:E67" si="5">C50+_xlfn.FORECAST.ETS.CONFINT(A50,$B$2:$B$17,$A$2:$A$17,0.95,6,1)</f>
        <v>70.614870334928497</v>
      </c>
    </row>
    <row r="51" spans="1:5" x14ac:dyDescent="0.35">
      <c r="A51">
        <v>2060</v>
      </c>
      <c r="C51">
        <f t="shared" si="3"/>
        <v>49.389842788181369</v>
      </c>
      <c r="D51" s="1">
        <f t="shared" si="4"/>
        <v>27.188054639713624</v>
      </c>
      <c r="E51" s="1">
        <f t="shared" si="5"/>
        <v>71.591630936649111</v>
      </c>
    </row>
    <row r="52" spans="1:5" x14ac:dyDescent="0.35">
      <c r="A52">
        <v>2061</v>
      </c>
      <c r="C52">
        <f t="shared" si="3"/>
        <v>48.062013602464205</v>
      </c>
      <c r="D52" s="1">
        <f t="shared" si="4"/>
        <v>25.560849174763305</v>
      </c>
      <c r="E52" s="1">
        <f t="shared" si="5"/>
        <v>70.563178030165105</v>
      </c>
    </row>
    <row r="53" spans="1:5" x14ac:dyDescent="0.35">
      <c r="A53">
        <v>2062</v>
      </c>
      <c r="C53">
        <f t="shared" si="3"/>
        <v>48.669105209435912</v>
      </c>
      <c r="D53" s="1">
        <f t="shared" si="4"/>
        <v>25.871746452248242</v>
      </c>
      <c r="E53" s="1">
        <f t="shared" si="5"/>
        <v>71.466463966623579</v>
      </c>
    </row>
    <row r="54" spans="1:5" x14ac:dyDescent="0.35">
      <c r="A54">
        <v>2063</v>
      </c>
      <c r="C54">
        <f t="shared" si="3"/>
        <v>49.475929942094716</v>
      </c>
      <c r="D54" s="1">
        <f t="shared" si="4"/>
        <v>26.172635755678115</v>
      </c>
      <c r="E54" s="1">
        <f t="shared" si="5"/>
        <v>72.779224128511316</v>
      </c>
    </row>
    <row r="55" spans="1:5" x14ac:dyDescent="0.35">
      <c r="A55">
        <v>2064</v>
      </c>
      <c r="C55">
        <f t="shared" si="3"/>
        <v>50.729285282685908</v>
      </c>
      <c r="D55" s="1">
        <f t="shared" si="4"/>
        <v>27.138415428945294</v>
      </c>
      <c r="E55" s="1">
        <f t="shared" si="5"/>
        <v>74.320155136426521</v>
      </c>
    </row>
    <row r="56" spans="1:5" x14ac:dyDescent="0.35">
      <c r="A56">
        <v>2065</v>
      </c>
      <c r="C56">
        <f t="shared" si="3"/>
        <v>52.210198459705914</v>
      </c>
      <c r="D56" s="1">
        <f t="shared" si="4"/>
        <v>28.334498392460997</v>
      </c>
      <c r="E56" s="1">
        <f t="shared" si="5"/>
        <v>76.085898526950828</v>
      </c>
    </row>
    <row r="57" spans="1:5" x14ac:dyDescent="0.35">
      <c r="A57">
        <v>2066</v>
      </c>
      <c r="C57">
        <f t="shared" si="3"/>
        <v>52.884269340031821</v>
      </c>
      <c r="D57" s="1">
        <f t="shared" si="4"/>
        <v>28.726386501924253</v>
      </c>
      <c r="E57" s="1">
        <f t="shared" si="5"/>
        <v>77.042152178139389</v>
      </c>
    </row>
    <row r="58" spans="1:5" x14ac:dyDescent="0.35">
      <c r="A58">
        <v>2067</v>
      </c>
      <c r="C58">
        <f t="shared" si="3"/>
        <v>51.556440154314657</v>
      </c>
      <c r="D58" s="1">
        <f t="shared" si="4"/>
        <v>27.118929385856102</v>
      </c>
      <c r="E58" s="1">
        <f t="shared" si="5"/>
        <v>75.993950922773209</v>
      </c>
    </row>
    <row r="59" spans="1:5" x14ac:dyDescent="0.35">
      <c r="A59">
        <v>2068</v>
      </c>
      <c r="C59">
        <f t="shared" si="3"/>
        <v>52.163531761286364</v>
      </c>
      <c r="D59" s="1">
        <f t="shared" si="4"/>
        <v>27.448860303552063</v>
      </c>
      <c r="E59" s="1">
        <f t="shared" si="5"/>
        <v>76.878203219020662</v>
      </c>
    </row>
    <row r="60" spans="1:5" x14ac:dyDescent="0.35">
      <c r="A60">
        <v>2069</v>
      </c>
      <c r="C60">
        <f t="shared" si="3"/>
        <v>52.970356493945161</v>
      </c>
      <c r="D60" s="1">
        <f t="shared" si="4"/>
        <v>27.78285670966504</v>
      </c>
      <c r="E60" s="1">
        <f t="shared" si="5"/>
        <v>78.157856278225282</v>
      </c>
    </row>
    <row r="61" spans="1:5" x14ac:dyDescent="0.35">
      <c r="A61">
        <v>2070</v>
      </c>
      <c r="C61">
        <f t="shared" si="3"/>
        <v>54.223711834536353</v>
      </c>
      <c r="D61" s="1">
        <f t="shared" si="4"/>
        <v>28.765860875350153</v>
      </c>
      <c r="E61" s="1">
        <f t="shared" si="5"/>
        <v>79.681562793722549</v>
      </c>
    </row>
    <row r="62" spans="1:5" x14ac:dyDescent="0.35">
      <c r="A62">
        <v>2071</v>
      </c>
      <c r="C62">
        <f t="shared" si="3"/>
        <v>55.704625011556367</v>
      </c>
      <c r="D62" s="1">
        <f t="shared" si="4"/>
        <v>29.97859229093368</v>
      </c>
      <c r="E62" s="1">
        <f t="shared" si="5"/>
        <v>81.430657732179057</v>
      </c>
    </row>
    <row r="63" spans="1:5" x14ac:dyDescent="0.35">
      <c r="A63">
        <v>2072</v>
      </c>
      <c r="C63">
        <f t="shared" si="3"/>
        <v>56.378695891882273</v>
      </c>
      <c r="D63" s="1">
        <f t="shared" si="4"/>
        <v>30.386582834713067</v>
      </c>
      <c r="E63" s="1">
        <f t="shared" si="5"/>
        <v>82.370808949051479</v>
      </c>
    </row>
    <row r="64" spans="1:5" x14ac:dyDescent="0.35">
      <c r="A64">
        <v>2073</v>
      </c>
      <c r="C64">
        <f t="shared" si="3"/>
        <v>55.05086670616511</v>
      </c>
      <c r="D64" s="1">
        <f t="shared" si="4"/>
        <v>28.794710020374087</v>
      </c>
      <c r="E64" s="1">
        <f t="shared" si="5"/>
        <v>81.307023391956136</v>
      </c>
    </row>
    <row r="65" spans="1:5" x14ac:dyDescent="0.35">
      <c r="A65">
        <v>2074</v>
      </c>
      <c r="C65">
        <f t="shared" si="3"/>
        <v>55.65795831313681</v>
      </c>
      <c r="D65" s="1">
        <f t="shared" si="4"/>
        <v>29.139733046628152</v>
      </c>
      <c r="E65" s="1">
        <f t="shared" si="5"/>
        <v>82.176183579645468</v>
      </c>
    </row>
    <row r="66" spans="1:5" x14ac:dyDescent="0.35">
      <c r="A66">
        <v>2075</v>
      </c>
      <c r="C66">
        <f t="shared" si="3"/>
        <v>56.464783045795606</v>
      </c>
      <c r="D66" s="1">
        <f t="shared" si="4"/>
        <v>29.500284059965882</v>
      </c>
      <c r="E66" s="1">
        <f t="shared" si="5"/>
        <v>83.429282031625334</v>
      </c>
    </row>
    <row r="67" spans="1:5" x14ac:dyDescent="0.35">
      <c r="A67">
        <v>2076</v>
      </c>
      <c r="C67">
        <f t="shared" si="3"/>
        <v>57.718138386386805</v>
      </c>
      <c r="D67" s="1">
        <f t="shared" si="4"/>
        <v>30.497113187820965</v>
      </c>
      <c r="E67" s="1">
        <f t="shared" si="5"/>
        <v>84.939163584952638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52B6-4F97-49F0-9E08-BE19746DE927}">
  <dimension ref="A1:F67"/>
  <sheetViews>
    <sheetView workbookViewId="0">
      <selection activeCell="C26" sqref="C26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6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6" x14ac:dyDescent="0.35">
      <c r="A2">
        <v>2011</v>
      </c>
      <c r="B2">
        <v>19.91</v>
      </c>
    </row>
    <row r="3" spans="1:6" x14ac:dyDescent="0.35">
      <c r="A3">
        <v>2012</v>
      </c>
      <c r="B3">
        <v>19.899999999999999</v>
      </c>
    </row>
    <row r="4" spans="1:6" x14ac:dyDescent="0.35">
      <c r="A4">
        <v>2013</v>
      </c>
      <c r="B4">
        <v>19.71</v>
      </c>
    </row>
    <row r="5" spans="1:6" x14ac:dyDescent="0.35">
      <c r="A5">
        <v>2014</v>
      </c>
      <c r="B5">
        <v>19.96</v>
      </c>
    </row>
    <row r="6" spans="1:6" x14ac:dyDescent="0.35">
      <c r="A6">
        <v>2015</v>
      </c>
      <c r="B6">
        <v>20.58</v>
      </c>
    </row>
    <row r="7" spans="1:6" x14ac:dyDescent="0.35">
      <c r="A7">
        <v>2016</v>
      </c>
      <c r="B7">
        <v>20.64</v>
      </c>
    </row>
    <row r="8" spans="1:6" x14ac:dyDescent="0.35">
      <c r="A8">
        <v>2017</v>
      </c>
      <c r="B8">
        <v>20.16</v>
      </c>
    </row>
    <row r="9" spans="1:6" x14ac:dyDescent="0.35">
      <c r="A9">
        <v>2018</v>
      </c>
      <c r="B9">
        <v>21.01</v>
      </c>
    </row>
    <row r="10" spans="1:6" x14ac:dyDescent="0.35">
      <c r="A10">
        <v>2019</v>
      </c>
      <c r="B10">
        <v>20.54</v>
      </c>
    </row>
    <row r="11" spans="1:6" x14ac:dyDescent="0.35">
      <c r="A11">
        <v>2020</v>
      </c>
      <c r="B11">
        <v>20.71</v>
      </c>
    </row>
    <row r="12" spans="1:6" x14ac:dyDescent="0.35">
      <c r="A12">
        <v>2021</v>
      </c>
      <c r="B12">
        <v>20.47</v>
      </c>
    </row>
    <row r="13" spans="1:6" x14ac:dyDescent="0.35">
      <c r="A13">
        <v>2022</v>
      </c>
      <c r="B13">
        <v>21.16</v>
      </c>
    </row>
    <row r="14" spans="1:6" x14ac:dyDescent="0.35">
      <c r="A14">
        <v>2023</v>
      </c>
      <c r="B14">
        <v>27.2</v>
      </c>
    </row>
    <row r="15" spans="1:6" x14ac:dyDescent="0.35">
      <c r="A15">
        <v>2024</v>
      </c>
      <c r="B15">
        <v>32.08</v>
      </c>
      <c r="F15" t="s">
        <v>56</v>
      </c>
    </row>
    <row r="16" spans="1:6" x14ac:dyDescent="0.35">
      <c r="A16">
        <v>2025</v>
      </c>
      <c r="B16">
        <v>29</v>
      </c>
      <c r="C16">
        <v>29</v>
      </c>
      <c r="D16" s="1">
        <v>29</v>
      </c>
      <c r="E16" s="1">
        <v>29</v>
      </c>
      <c r="F16">
        <f>Tableau9[[#This Row],[Limite de confiance supérieure]]/Tableau9[[#This Row],[Limite de confiance supérieure]]</f>
        <v>1</v>
      </c>
    </row>
    <row r="17" spans="1:6" x14ac:dyDescent="0.35">
      <c r="A17">
        <v>2026</v>
      </c>
      <c r="B17">
        <v>27.7</v>
      </c>
      <c r="C17">
        <f t="shared" ref="C17:C48" si="0">_xlfn.FORECAST.ETS(A17,$B$2:$B$16,$A$2:$A$16,4,1)</f>
        <v>27.744537093289679</v>
      </c>
      <c r="D17" s="1">
        <f t="shared" ref="D17:D48" si="1">C17-_xlfn.FORECAST.ETS.CONFINT(A17,$B$2:$B$16,$A$2:$A$16,0.95,4,1)</f>
        <v>22.896499855345738</v>
      </c>
      <c r="E17" s="1">
        <f t="shared" ref="E17:E48" si="2">C17+_xlfn.FORECAST.ETS.CONFINT(A17,$B$2:$B$16,$A$2:$A$16,0.95,4,1)</f>
        <v>32.592574331233621</v>
      </c>
      <c r="F17">
        <f>C17/$C$16</f>
        <v>0.95670817563067856</v>
      </c>
    </row>
    <row r="18" spans="1:6" x14ac:dyDescent="0.35">
      <c r="A18">
        <v>2027</v>
      </c>
      <c r="C18">
        <f t="shared" si="0"/>
        <v>29.648943581586845</v>
      </c>
      <c r="D18" s="1">
        <f t="shared" si="1"/>
        <v>24.649340686786847</v>
      </c>
      <c r="E18" s="1">
        <f t="shared" si="2"/>
        <v>34.648546476386848</v>
      </c>
      <c r="F18">
        <f t="shared" ref="F18:F67" si="3">C18/$C$16</f>
        <v>1.0223773648823049</v>
      </c>
    </row>
    <row r="19" spans="1:6" x14ac:dyDescent="0.35">
      <c r="A19">
        <v>2028</v>
      </c>
      <c r="C19">
        <f t="shared" si="0"/>
        <v>30.057323827706487</v>
      </c>
      <c r="D19" s="1">
        <f t="shared" si="1"/>
        <v>24.909463845077831</v>
      </c>
      <c r="E19" s="1">
        <f t="shared" si="2"/>
        <v>35.205183810335143</v>
      </c>
      <c r="F19">
        <f t="shared" si="3"/>
        <v>1.0364594423347064</v>
      </c>
    </row>
    <row r="20" spans="1:6" x14ac:dyDescent="0.35">
      <c r="A20">
        <v>2029</v>
      </c>
      <c r="C20">
        <f t="shared" si="0"/>
        <v>29.917191256709636</v>
      </c>
      <c r="D20" s="1">
        <f t="shared" si="1"/>
        <v>24.624100292765018</v>
      </c>
      <c r="E20" s="1">
        <f t="shared" si="2"/>
        <v>35.21028222065425</v>
      </c>
      <c r="F20">
        <f t="shared" si="3"/>
        <v>1.0316272847141255</v>
      </c>
    </row>
    <row r="21" spans="1:6" x14ac:dyDescent="0.35">
      <c r="A21">
        <v>2030</v>
      </c>
      <c r="C21">
        <f t="shared" si="0"/>
        <v>30.352816908653175</v>
      </c>
      <c r="D21" s="1">
        <f t="shared" si="1"/>
        <v>24.916169500663898</v>
      </c>
      <c r="E21" s="1">
        <f t="shared" si="2"/>
        <v>35.789464316642452</v>
      </c>
      <c r="F21">
        <f t="shared" si="3"/>
        <v>1.046648858919075</v>
      </c>
    </row>
    <row r="22" spans="1:6" x14ac:dyDescent="0.35">
      <c r="A22">
        <v>2031</v>
      </c>
      <c r="C22">
        <f t="shared" si="0"/>
        <v>32.257223396950344</v>
      </c>
      <c r="D22" s="1">
        <f t="shared" si="1"/>
        <v>26.680713903996814</v>
      </c>
      <c r="E22" s="1">
        <f t="shared" si="2"/>
        <v>37.833732889903878</v>
      </c>
      <c r="F22">
        <f t="shared" si="3"/>
        <v>1.1123180481707016</v>
      </c>
    </row>
    <row r="23" spans="1:6" x14ac:dyDescent="0.35">
      <c r="A23">
        <v>2032</v>
      </c>
      <c r="C23">
        <f t="shared" si="0"/>
        <v>32.665603643069986</v>
      </c>
      <c r="D23" s="1">
        <f t="shared" si="1"/>
        <v>26.951599925116941</v>
      </c>
      <c r="E23" s="1">
        <f t="shared" si="2"/>
        <v>38.379607361023034</v>
      </c>
      <c r="F23">
        <f t="shared" si="3"/>
        <v>1.1264001256231029</v>
      </c>
    </row>
    <row r="24" spans="1:6" x14ac:dyDescent="0.35">
      <c r="A24">
        <v>2033</v>
      </c>
      <c r="C24">
        <f t="shared" si="0"/>
        <v>32.525471072073131</v>
      </c>
      <c r="D24" s="1">
        <f t="shared" si="1"/>
        <v>26.676169990997909</v>
      </c>
      <c r="E24" s="1">
        <f t="shared" si="2"/>
        <v>38.374772153148356</v>
      </c>
      <c r="F24">
        <f t="shared" si="3"/>
        <v>1.1215679680025217</v>
      </c>
    </row>
    <row r="25" spans="1:6" x14ac:dyDescent="0.35">
      <c r="A25">
        <v>2034</v>
      </c>
      <c r="C25">
        <f t="shared" si="0"/>
        <v>32.96109672401667</v>
      </c>
      <c r="D25" s="1">
        <f t="shared" si="1"/>
        <v>26.977522760643531</v>
      </c>
      <c r="E25" s="1">
        <f t="shared" si="2"/>
        <v>38.944670687389809</v>
      </c>
      <c r="F25">
        <f t="shared" si="3"/>
        <v>1.1365895422074714</v>
      </c>
    </row>
    <row r="26" spans="1:6" x14ac:dyDescent="0.35">
      <c r="A26">
        <v>2035</v>
      </c>
      <c r="C26">
        <f t="shared" si="0"/>
        <v>34.865503212313847</v>
      </c>
      <c r="D26" s="1">
        <f t="shared" si="1"/>
        <v>28.75060406243033</v>
      </c>
      <c r="E26" s="1">
        <f t="shared" si="2"/>
        <v>40.980402362197367</v>
      </c>
      <c r="F26">
        <f t="shared" si="3"/>
        <v>1.2022587314590982</v>
      </c>
    </row>
    <row r="27" spans="1:6" x14ac:dyDescent="0.35">
      <c r="A27">
        <v>2036</v>
      </c>
      <c r="C27">
        <f t="shared" si="0"/>
        <v>35.273883458433481</v>
      </c>
      <c r="D27" s="1">
        <f t="shared" si="1"/>
        <v>29.029440236125197</v>
      </c>
      <c r="E27" s="1">
        <f t="shared" si="2"/>
        <v>41.518326680741765</v>
      </c>
      <c r="F27">
        <f t="shared" si="3"/>
        <v>1.2163408089114993</v>
      </c>
    </row>
    <row r="28" spans="1:6" x14ac:dyDescent="0.35">
      <c r="A28">
        <v>2037</v>
      </c>
      <c r="C28">
        <f t="shared" si="0"/>
        <v>35.133750887436626</v>
      </c>
      <c r="D28" s="1">
        <f t="shared" si="1"/>
        <v>28.761432391610775</v>
      </c>
      <c r="E28" s="1">
        <f t="shared" si="2"/>
        <v>41.506069383262478</v>
      </c>
      <c r="F28">
        <f t="shared" si="3"/>
        <v>1.2115086512909181</v>
      </c>
    </row>
    <row r="29" spans="1:6" x14ac:dyDescent="0.35">
      <c r="A29">
        <v>2038</v>
      </c>
      <c r="C29">
        <f t="shared" si="0"/>
        <v>35.569376539380166</v>
      </c>
      <c r="D29" s="1">
        <f t="shared" si="1"/>
        <v>29.069796513478476</v>
      </c>
      <c r="E29" s="1">
        <f t="shared" si="2"/>
        <v>42.068956565281859</v>
      </c>
      <c r="F29">
        <f t="shared" si="3"/>
        <v>1.2265302254958679</v>
      </c>
    </row>
    <row r="30" spans="1:6" x14ac:dyDescent="0.35">
      <c r="A30">
        <v>2039</v>
      </c>
      <c r="C30">
        <f t="shared" si="0"/>
        <v>37.473783027677342</v>
      </c>
      <c r="D30" s="1">
        <f t="shared" si="1"/>
        <v>30.849385846502575</v>
      </c>
      <c r="E30" s="1">
        <f t="shared" si="2"/>
        <v>44.098180208852114</v>
      </c>
      <c r="F30">
        <f t="shared" si="3"/>
        <v>1.2921994147474947</v>
      </c>
    </row>
    <row r="31" spans="1:6" x14ac:dyDescent="0.35">
      <c r="A31">
        <v>2040</v>
      </c>
      <c r="C31">
        <f t="shared" si="0"/>
        <v>37.882163273796976</v>
      </c>
      <c r="D31" s="1">
        <f t="shared" si="1"/>
        <v>31.134336301516996</v>
      </c>
      <c r="E31" s="1">
        <f t="shared" si="2"/>
        <v>44.629990246076957</v>
      </c>
      <c r="F31">
        <f t="shared" si="3"/>
        <v>1.3062814921998958</v>
      </c>
    </row>
    <row r="32" spans="1:6" x14ac:dyDescent="0.35">
      <c r="A32">
        <v>2041</v>
      </c>
      <c r="C32">
        <f t="shared" si="0"/>
        <v>37.742030702800122</v>
      </c>
      <c r="D32" s="1">
        <f t="shared" si="1"/>
        <v>30.872083103171043</v>
      </c>
      <c r="E32" s="1">
        <f t="shared" si="2"/>
        <v>44.6119783024292</v>
      </c>
      <c r="F32">
        <f t="shared" si="3"/>
        <v>1.3014493345793146</v>
      </c>
    </row>
    <row r="33" spans="1:6" x14ac:dyDescent="0.35">
      <c r="A33">
        <v>2042</v>
      </c>
      <c r="C33">
        <f t="shared" si="0"/>
        <v>38.177656354743661</v>
      </c>
      <c r="D33" s="1">
        <f t="shared" si="1"/>
        <v>31.185926032702199</v>
      </c>
      <c r="E33" s="1">
        <f t="shared" si="2"/>
        <v>45.169386676785123</v>
      </c>
      <c r="F33">
        <f t="shared" si="3"/>
        <v>1.3164709087842641</v>
      </c>
    </row>
    <row r="34" spans="1:6" x14ac:dyDescent="0.35">
      <c r="A34">
        <v>2043</v>
      </c>
      <c r="C34">
        <f t="shared" si="0"/>
        <v>40.082062843040838</v>
      </c>
      <c r="D34" s="1">
        <f t="shared" si="1"/>
        <v>32.970635013788915</v>
      </c>
      <c r="E34" s="1">
        <f t="shared" si="2"/>
        <v>47.193490672292761</v>
      </c>
      <c r="F34">
        <f t="shared" si="3"/>
        <v>1.3821400980358909</v>
      </c>
    </row>
    <row r="35" spans="1:6" x14ac:dyDescent="0.35">
      <c r="A35">
        <v>2044</v>
      </c>
      <c r="C35">
        <f t="shared" si="0"/>
        <v>40.490443089160472</v>
      </c>
      <c r="D35" s="1">
        <f t="shared" si="1"/>
        <v>33.260426491261065</v>
      </c>
      <c r="E35" s="1">
        <f t="shared" si="2"/>
        <v>47.720459687059879</v>
      </c>
      <c r="F35">
        <f t="shared" si="3"/>
        <v>1.3962221754882922</v>
      </c>
    </row>
    <row r="36" spans="1:6" x14ac:dyDescent="0.35">
      <c r="A36">
        <v>2045</v>
      </c>
      <c r="C36">
        <f t="shared" si="0"/>
        <v>40.350310518163617</v>
      </c>
      <c r="D36" s="1">
        <f t="shared" si="1"/>
        <v>33.002757006360468</v>
      </c>
      <c r="E36" s="1">
        <f t="shared" si="2"/>
        <v>47.697864029966766</v>
      </c>
      <c r="F36">
        <f t="shared" si="3"/>
        <v>1.391390017867711</v>
      </c>
    </row>
    <row r="37" spans="1:6" x14ac:dyDescent="0.35">
      <c r="A37">
        <v>2046</v>
      </c>
      <c r="C37">
        <f t="shared" si="0"/>
        <v>40.785936170107163</v>
      </c>
      <c r="D37" s="1">
        <f t="shared" si="1"/>
        <v>33.320989889801716</v>
      </c>
      <c r="E37" s="1">
        <f t="shared" si="2"/>
        <v>48.250882450412611</v>
      </c>
      <c r="F37">
        <f t="shared" si="3"/>
        <v>1.4064115920726608</v>
      </c>
    </row>
    <row r="38" spans="1:6" x14ac:dyDescent="0.35">
      <c r="A38">
        <v>2047</v>
      </c>
      <c r="C38">
        <f t="shared" si="0"/>
        <v>42.690342658404333</v>
      </c>
      <c r="D38" s="1">
        <f t="shared" si="1"/>
        <v>35.109821348700002</v>
      </c>
      <c r="E38" s="1">
        <f t="shared" si="2"/>
        <v>50.270863968108664</v>
      </c>
      <c r="F38">
        <f t="shared" si="3"/>
        <v>1.4720807813242873</v>
      </c>
    </row>
    <row r="39" spans="1:6" x14ac:dyDescent="0.35">
      <c r="A39">
        <v>2048</v>
      </c>
      <c r="C39">
        <f t="shared" si="0"/>
        <v>43.098722904523967</v>
      </c>
      <c r="D39" s="1">
        <f t="shared" si="1"/>
        <v>35.403530049606374</v>
      </c>
      <c r="E39" s="1">
        <f t="shared" si="2"/>
        <v>50.79391575944156</v>
      </c>
      <c r="F39">
        <f t="shared" si="3"/>
        <v>1.4861628587766886</v>
      </c>
    </row>
    <row r="40" spans="1:6" x14ac:dyDescent="0.35">
      <c r="A40">
        <v>2049</v>
      </c>
      <c r="C40">
        <f t="shared" si="0"/>
        <v>42.95859033352712</v>
      </c>
      <c r="D40" s="1">
        <f t="shared" si="1"/>
        <v>35.149586605953658</v>
      </c>
      <c r="E40" s="1">
        <f t="shared" si="2"/>
        <v>50.767594061100581</v>
      </c>
      <c r="F40">
        <f t="shared" si="3"/>
        <v>1.4813307011561077</v>
      </c>
    </row>
    <row r="41" spans="1:6" x14ac:dyDescent="0.35">
      <c r="A41">
        <v>2050</v>
      </c>
      <c r="C41">
        <f t="shared" si="0"/>
        <v>43.394215985470659</v>
      </c>
      <c r="D41" s="1">
        <f t="shared" si="1"/>
        <v>35.471404668033884</v>
      </c>
      <c r="E41" s="1">
        <f t="shared" si="2"/>
        <v>51.317027302907434</v>
      </c>
      <c r="F41">
        <f t="shared" si="3"/>
        <v>1.4963522753610572</v>
      </c>
    </row>
    <row r="42" spans="1:6" x14ac:dyDescent="0.35">
      <c r="A42">
        <v>2051</v>
      </c>
      <c r="C42">
        <f t="shared" si="0"/>
        <v>45.298622473767828</v>
      </c>
      <c r="D42" s="1">
        <f t="shared" si="1"/>
        <v>37.263615371956888</v>
      </c>
      <c r="E42" s="1">
        <f t="shared" si="2"/>
        <v>53.333629575578769</v>
      </c>
      <c r="F42">
        <f t="shared" si="3"/>
        <v>1.5620214646126838</v>
      </c>
    </row>
    <row r="43" spans="1:6" x14ac:dyDescent="0.35">
      <c r="A43">
        <v>2052</v>
      </c>
      <c r="C43">
        <f t="shared" si="0"/>
        <v>45.70700271988747</v>
      </c>
      <c r="D43" s="1">
        <f t="shared" si="1"/>
        <v>37.560547263876025</v>
      </c>
      <c r="E43" s="1">
        <f t="shared" si="2"/>
        <v>53.853458175898915</v>
      </c>
      <c r="F43">
        <f t="shared" si="3"/>
        <v>1.5761035420650851</v>
      </c>
    </row>
    <row r="44" spans="1:6" x14ac:dyDescent="0.35">
      <c r="A44">
        <v>2053</v>
      </c>
      <c r="C44">
        <f t="shared" si="0"/>
        <v>45.566870148890615</v>
      </c>
      <c r="D44" s="1">
        <f t="shared" si="1"/>
        <v>37.30968065787652</v>
      </c>
      <c r="E44" s="1">
        <f t="shared" si="2"/>
        <v>53.824059639904711</v>
      </c>
      <c r="F44">
        <f t="shared" si="3"/>
        <v>1.5712713844445039</v>
      </c>
    </row>
    <row r="45" spans="1:6" x14ac:dyDescent="0.35">
      <c r="A45">
        <v>2054</v>
      </c>
      <c r="C45">
        <f t="shared" si="0"/>
        <v>46.002495800834154</v>
      </c>
      <c r="D45" s="1">
        <f t="shared" si="1"/>
        <v>37.63447034967448</v>
      </c>
      <c r="E45" s="1">
        <f t="shared" si="2"/>
        <v>54.370521251993829</v>
      </c>
      <c r="F45">
        <f t="shared" si="3"/>
        <v>1.5862929586494536</v>
      </c>
    </row>
    <row r="46" spans="1:6" x14ac:dyDescent="0.35">
      <c r="A46">
        <v>2055</v>
      </c>
      <c r="C46">
        <f t="shared" si="0"/>
        <v>47.906902289131331</v>
      </c>
      <c r="D46" s="1">
        <f t="shared" si="1"/>
        <v>39.42948985301625</v>
      </c>
      <c r="E46" s="1">
        <f t="shared" si="2"/>
        <v>56.384314725246412</v>
      </c>
      <c r="F46">
        <f t="shared" si="3"/>
        <v>1.6519621479010804</v>
      </c>
    </row>
    <row r="47" spans="1:6" x14ac:dyDescent="0.35">
      <c r="A47">
        <v>2056</v>
      </c>
      <c r="C47">
        <f t="shared" si="0"/>
        <v>48.315282535250958</v>
      </c>
      <c r="D47" s="1">
        <f t="shared" si="1"/>
        <v>39.72910884048796</v>
      </c>
      <c r="E47" s="1">
        <f t="shared" si="2"/>
        <v>56.901456230013956</v>
      </c>
      <c r="F47">
        <f t="shared" si="3"/>
        <v>1.6660442253534813</v>
      </c>
    </row>
    <row r="48" spans="1:6" x14ac:dyDescent="0.35">
      <c r="A48">
        <v>2057</v>
      </c>
      <c r="C48">
        <f t="shared" si="0"/>
        <v>48.175149964254111</v>
      </c>
      <c r="D48" s="1">
        <f t="shared" si="1"/>
        <v>39.480814551348161</v>
      </c>
      <c r="E48" s="1">
        <f t="shared" si="2"/>
        <v>56.869485377160061</v>
      </c>
      <c r="F48">
        <f t="shared" si="3"/>
        <v>1.6612120677329003</v>
      </c>
    </row>
    <row r="49" spans="1:6" x14ac:dyDescent="0.35">
      <c r="A49">
        <v>2058</v>
      </c>
      <c r="C49">
        <f t="shared" ref="C49:C67" si="4">_xlfn.FORECAST.ETS(A49,$B$2:$B$16,$A$2:$A$16,4,1)</f>
        <v>48.610775616197657</v>
      </c>
      <c r="D49" s="1">
        <f t="shared" ref="D49:D80" si="5">C49-_xlfn.FORECAST.ETS.CONFINT(A49,$B$2:$B$16,$A$2:$A$16,0.95,4,1)</f>
        <v>39.808096265566419</v>
      </c>
      <c r="E49" s="1">
        <f t="shared" ref="E49:E67" si="6">C49+_xlfn.FORECAST.ETS.CONFINT(A49,$B$2:$B$16,$A$2:$A$16,0.95,4,1)</f>
        <v>57.413454966828894</v>
      </c>
      <c r="F49">
        <f t="shared" si="3"/>
        <v>1.6762336419378503</v>
      </c>
    </row>
    <row r="50" spans="1:6" x14ac:dyDescent="0.35">
      <c r="A50">
        <v>2059</v>
      </c>
      <c r="C50">
        <f t="shared" si="4"/>
        <v>50.515182104494819</v>
      </c>
      <c r="D50" s="1">
        <f t="shared" si="5"/>
        <v>41.605476204301006</v>
      </c>
      <c r="E50" s="1">
        <f t="shared" si="6"/>
        <v>59.424888004688633</v>
      </c>
      <c r="F50">
        <f t="shared" si="3"/>
        <v>1.7419028311894764</v>
      </c>
    </row>
    <row r="51" spans="1:6" x14ac:dyDescent="0.35">
      <c r="A51">
        <v>2060</v>
      </c>
      <c r="C51">
        <f t="shared" si="4"/>
        <v>50.923562350614461</v>
      </c>
      <c r="D51" s="1">
        <f t="shared" si="5"/>
        <v>41.907358705094531</v>
      </c>
      <c r="E51" s="1">
        <f t="shared" si="6"/>
        <v>59.93976599613439</v>
      </c>
      <c r="F51">
        <f t="shared" si="3"/>
        <v>1.755984908641878</v>
      </c>
    </row>
    <row r="52" spans="1:6" x14ac:dyDescent="0.35">
      <c r="A52">
        <v>2061</v>
      </c>
      <c r="C52">
        <f t="shared" si="4"/>
        <v>50.783429779617606</v>
      </c>
      <c r="D52" s="1">
        <f t="shared" si="5"/>
        <v>41.661236095772978</v>
      </c>
      <c r="E52" s="1">
        <f t="shared" si="6"/>
        <v>59.905623463462234</v>
      </c>
      <c r="F52">
        <f t="shared" si="3"/>
        <v>1.7511527510212967</v>
      </c>
    </row>
    <row r="53" spans="1:6" x14ac:dyDescent="0.35">
      <c r="A53">
        <v>2062</v>
      </c>
      <c r="C53">
        <f t="shared" si="4"/>
        <v>51.219055431561145</v>
      </c>
      <c r="D53" s="1">
        <f t="shared" si="5"/>
        <v>41.990627124880092</v>
      </c>
      <c r="E53" s="1">
        <f t="shared" si="6"/>
        <v>60.447483738242198</v>
      </c>
      <c r="F53">
        <f t="shared" si="3"/>
        <v>1.7661743252262463</v>
      </c>
    </row>
    <row r="54" spans="1:6" x14ac:dyDescent="0.35">
      <c r="A54">
        <v>2063</v>
      </c>
      <c r="C54">
        <f t="shared" si="4"/>
        <v>53.123461919858322</v>
      </c>
      <c r="D54" s="1">
        <f t="shared" si="5"/>
        <v>43.790008088744699</v>
      </c>
      <c r="E54" s="1">
        <f t="shared" si="6"/>
        <v>62.456915750971945</v>
      </c>
      <c r="F54">
        <f t="shared" si="3"/>
        <v>1.8318435144778731</v>
      </c>
    </row>
    <row r="55" spans="1:6" x14ac:dyDescent="0.35">
      <c r="A55">
        <v>2064</v>
      </c>
      <c r="C55">
        <f t="shared" si="4"/>
        <v>53.531842165977956</v>
      </c>
      <c r="D55" s="1">
        <f t="shared" si="5"/>
        <v>44.093813064367453</v>
      </c>
      <c r="E55" s="1">
        <f t="shared" si="6"/>
        <v>62.969871267588459</v>
      </c>
      <c r="F55">
        <f t="shared" si="3"/>
        <v>1.8459255919302744</v>
      </c>
    </row>
    <row r="56" spans="1:6" x14ac:dyDescent="0.35">
      <c r="A56">
        <v>2065</v>
      </c>
      <c r="C56">
        <f t="shared" si="4"/>
        <v>53.391709594981101</v>
      </c>
      <c r="D56" s="1">
        <f t="shared" si="5"/>
        <v>43.849538210310101</v>
      </c>
      <c r="E56" s="1">
        <f t="shared" si="6"/>
        <v>62.933880979652102</v>
      </c>
      <c r="F56">
        <f t="shared" si="3"/>
        <v>1.8410934343096932</v>
      </c>
    </row>
    <row r="57" spans="1:6" x14ac:dyDescent="0.35">
      <c r="A57">
        <v>2066</v>
      </c>
      <c r="C57">
        <f t="shared" si="4"/>
        <v>53.827335246924648</v>
      </c>
      <c r="D57" s="1">
        <f t="shared" si="5"/>
        <v>44.180727854719251</v>
      </c>
      <c r="E57" s="1">
        <f t="shared" si="6"/>
        <v>63.473942639130044</v>
      </c>
      <c r="F57">
        <f t="shared" si="3"/>
        <v>1.856115008514643</v>
      </c>
    </row>
    <row r="58" spans="1:6" x14ac:dyDescent="0.35">
      <c r="A58">
        <v>2067</v>
      </c>
      <c r="C58">
        <f t="shared" si="4"/>
        <v>55.731741735221817</v>
      </c>
      <c r="D58" s="1">
        <f t="shared" si="5"/>
        <v>45.981816934267215</v>
      </c>
      <c r="E58" s="1">
        <f t="shared" si="6"/>
        <v>65.481666536176419</v>
      </c>
      <c r="F58">
        <f t="shared" si="3"/>
        <v>1.9217841977662695</v>
      </c>
    </row>
    <row r="59" spans="1:6" x14ac:dyDescent="0.35">
      <c r="A59">
        <v>2068</v>
      </c>
      <c r="C59">
        <f t="shared" si="4"/>
        <v>56.140121981341451</v>
      </c>
      <c r="D59" s="1">
        <f t="shared" si="5"/>
        <v>46.287265410973262</v>
      </c>
      <c r="E59" s="1">
        <f t="shared" si="6"/>
        <v>65.992978551709641</v>
      </c>
      <c r="F59">
        <f t="shared" si="3"/>
        <v>1.9358662752186708</v>
      </c>
    </row>
    <row r="60" spans="1:6" x14ac:dyDescent="0.35">
      <c r="A60">
        <v>2069</v>
      </c>
      <c r="C60">
        <f t="shared" si="4"/>
        <v>55.999989410344604</v>
      </c>
      <c r="D60" s="1">
        <f t="shared" si="5"/>
        <v>46.044572387325616</v>
      </c>
      <c r="E60" s="1">
        <f t="shared" si="6"/>
        <v>65.955406433363592</v>
      </c>
      <c r="F60">
        <f t="shared" si="3"/>
        <v>1.9310341175980898</v>
      </c>
    </row>
    <row r="61" spans="1:6" x14ac:dyDescent="0.35">
      <c r="A61">
        <v>2070</v>
      </c>
      <c r="C61">
        <f t="shared" si="4"/>
        <v>56.435615062288143</v>
      </c>
      <c r="D61" s="1">
        <f t="shared" si="5"/>
        <v>46.377304682460114</v>
      </c>
      <c r="E61" s="1">
        <f t="shared" si="6"/>
        <v>66.493925442116165</v>
      </c>
      <c r="F61">
        <f t="shared" si="3"/>
        <v>1.9460556918030394</v>
      </c>
    </row>
    <row r="62" spans="1:6" x14ac:dyDescent="0.35">
      <c r="A62">
        <v>2071</v>
      </c>
      <c r="C62">
        <f t="shared" si="4"/>
        <v>58.340021550585313</v>
      </c>
      <c r="D62" s="1">
        <f t="shared" si="5"/>
        <v>48.179859775707108</v>
      </c>
      <c r="E62" s="1">
        <f t="shared" si="6"/>
        <v>68.500183325463524</v>
      </c>
      <c r="F62">
        <f t="shared" si="3"/>
        <v>2.0117248810546657</v>
      </c>
    </row>
    <row r="63" spans="1:6" x14ac:dyDescent="0.35">
      <c r="A63">
        <v>2072</v>
      </c>
      <c r="C63">
        <f t="shared" si="4"/>
        <v>58.748401796704954</v>
      </c>
      <c r="D63" s="1">
        <f t="shared" si="5"/>
        <v>48.486720431489161</v>
      </c>
      <c r="E63" s="1">
        <f t="shared" si="6"/>
        <v>69.010083161920747</v>
      </c>
      <c r="F63">
        <f t="shared" si="3"/>
        <v>2.0258069585070673</v>
      </c>
    </row>
    <row r="64" spans="1:6" x14ac:dyDescent="0.35">
      <c r="A64">
        <v>2073</v>
      </c>
      <c r="C64">
        <f t="shared" si="4"/>
        <v>58.608269225708092</v>
      </c>
      <c r="D64" s="1">
        <f t="shared" si="5"/>
        <v>48.245388055278269</v>
      </c>
      <c r="E64" s="1">
        <f t="shared" si="6"/>
        <v>68.971150396137915</v>
      </c>
      <c r="F64">
        <f t="shared" si="3"/>
        <v>2.0209748008864858</v>
      </c>
    </row>
    <row r="65" spans="1:6" x14ac:dyDescent="0.35">
      <c r="A65">
        <v>2074</v>
      </c>
      <c r="C65">
        <f t="shared" si="4"/>
        <v>59.043894877651638</v>
      </c>
      <c r="D65" s="1">
        <f t="shared" si="5"/>
        <v>48.579449454797484</v>
      </c>
      <c r="E65" s="1">
        <f t="shared" si="6"/>
        <v>69.508340300505793</v>
      </c>
      <c r="F65">
        <f t="shared" si="3"/>
        <v>2.0359963750914356</v>
      </c>
    </row>
    <row r="66" spans="1:6" x14ac:dyDescent="0.35">
      <c r="A66">
        <v>2075</v>
      </c>
      <c r="C66">
        <f t="shared" si="4"/>
        <v>60.948301365948815</v>
      </c>
      <c r="D66" s="1">
        <f t="shared" si="5"/>
        <v>50.38326800758513</v>
      </c>
      <c r="E66" s="1">
        <f t="shared" si="6"/>
        <v>71.5133347243125</v>
      </c>
      <c r="F66">
        <f t="shared" si="3"/>
        <v>2.1016655643430626</v>
      </c>
    </row>
    <row r="67" spans="1:6" x14ac:dyDescent="0.35">
      <c r="A67">
        <v>2076</v>
      </c>
      <c r="C67">
        <f t="shared" si="4"/>
        <v>61.356681612068442</v>
      </c>
      <c r="D67" s="1">
        <f t="shared" si="5"/>
        <v>50.691346769632275</v>
      </c>
      <c r="E67" s="1">
        <f t="shared" si="6"/>
        <v>72.022016454504609</v>
      </c>
      <c r="F67">
        <f t="shared" si="3"/>
        <v>2.1157476417954637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88DD-B876-42BD-8CFB-DD28BE85C4DF}">
  <dimension ref="A1:E69"/>
  <sheetViews>
    <sheetView topLeftCell="A13" workbookViewId="0">
      <selection activeCell="C58" sqref="C58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</cols>
  <sheetData>
    <row r="1" spans="1:5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35">
      <c r="A2">
        <v>2020</v>
      </c>
      <c r="B2" s="7">
        <v>14.440000000000001</v>
      </c>
    </row>
    <row r="3" spans="1:5" x14ac:dyDescent="0.35">
      <c r="A3">
        <v>2021</v>
      </c>
      <c r="B3" s="7">
        <v>12.391111111111115</v>
      </c>
    </row>
    <row r="4" spans="1:5" x14ac:dyDescent="0.35">
      <c r="A4">
        <v>2022</v>
      </c>
      <c r="B4" s="7">
        <v>12.639999999999999</v>
      </c>
    </row>
    <row r="5" spans="1:5" x14ac:dyDescent="0.35">
      <c r="A5">
        <v>2023</v>
      </c>
      <c r="B5" s="7">
        <v>14.516666666666667</v>
      </c>
    </row>
    <row r="6" spans="1:5" x14ac:dyDescent="0.35">
      <c r="A6">
        <v>2024</v>
      </c>
      <c r="B6" s="7">
        <v>19.392222222222216</v>
      </c>
    </row>
    <row r="7" spans="1:5" x14ac:dyDescent="0.35">
      <c r="A7">
        <v>2025</v>
      </c>
      <c r="B7" s="7">
        <v>18.827777777777779</v>
      </c>
    </row>
    <row r="8" spans="1:5" x14ac:dyDescent="0.35">
      <c r="A8">
        <v>2026</v>
      </c>
      <c r="B8" s="7">
        <v>19.849851851851327</v>
      </c>
      <c r="C8" s="7">
        <v>19.849851851851327</v>
      </c>
      <c r="D8" s="7">
        <v>19.849851851851327</v>
      </c>
      <c r="E8" s="7">
        <v>19.849851851851327</v>
      </c>
    </row>
    <row r="9" spans="1:5" x14ac:dyDescent="0.35">
      <c r="A9">
        <v>2027</v>
      </c>
      <c r="B9" s="7">
        <v>21.130391534391038</v>
      </c>
      <c r="C9" s="7">
        <f>_xlfn.FORECAST.ETS(A9,$B$2:$B$8,$A$2:$A$8,2,1)</f>
        <v>20.477317864067611</v>
      </c>
      <c r="D9" s="7">
        <f>C9-_xlfn.FORECAST.ETS.CONFINT(A9,$B$2:$B$8,$A$2:$A$8,0.95,2,1)</f>
        <v>16.927872345691554</v>
      </c>
      <c r="E9" s="7">
        <f>C9+_xlfn.FORECAST.ETS.CONFINT(A9,$B$2:$B$8,$A$2:$A$8,0.95,2,1)</f>
        <v>24.026763382443669</v>
      </c>
    </row>
    <row r="10" spans="1:5" x14ac:dyDescent="0.35">
      <c r="A10">
        <v>2028</v>
      </c>
      <c r="B10" s="7">
        <v>22.410931216930749</v>
      </c>
      <c r="C10" s="7">
        <f>_xlfn.FORECAST.ETS(A10,$B$2:$B$8,$A$2:$A$8,2,1)</f>
        <v>22.71923121622244</v>
      </c>
      <c r="D10" s="7">
        <f>C10-_xlfn.FORECAST.ETS.CONFINT(A10,$B$2:$B$8,$A$2:$A$8,0.95,2,1)</f>
        <v>18.27816135248549</v>
      </c>
      <c r="E10" s="7">
        <f>C10+_xlfn.FORECAST.ETS.CONFINT(A10,$B$2:$B$8,$A$2:$A$8,0.95,2,1)</f>
        <v>27.160301079959389</v>
      </c>
    </row>
    <row r="11" spans="1:5" x14ac:dyDescent="0.35">
      <c r="A11">
        <v>2029</v>
      </c>
      <c r="B11" s="7">
        <v>23.69147089947046</v>
      </c>
      <c r="C11" s="7">
        <f>_xlfn.FORECAST.ETS(A11,$B$2:$B$8,$A$2:$A$8,2,1)</f>
        <v>23.033217190587184</v>
      </c>
      <c r="D11" s="7">
        <f>C11-_xlfn.FORECAST.ETS.CONFINT(A11,$B$2:$B$8,$A$2:$A$8,0.95,2,1)</f>
        <v>17.84808590444883</v>
      </c>
      <c r="E11" s="7">
        <f>C11+_xlfn.FORECAST.ETS.CONFINT(A11,$B$2:$B$8,$A$2:$A$8,0.95,2,1)</f>
        <v>28.218348476725538</v>
      </c>
    </row>
    <row r="12" spans="1:5" x14ac:dyDescent="0.35">
      <c r="A12">
        <v>2030</v>
      </c>
      <c r="B12" s="7">
        <v>25.091470899470458</v>
      </c>
      <c r="C12" s="7">
        <f>_xlfn.FORECAST.ETS(A12,$B$2:$B$8,$A$2:$A$8,2,1)</f>
        <v>25.275130542742009</v>
      </c>
      <c r="D12" s="7">
        <f>C12-_xlfn.FORECAST.ETS.CONFINT(A12,$B$2:$B$8,$A$2:$A$8,0.95,2,1)</f>
        <v>19.440058017538139</v>
      </c>
      <c r="E12" s="7">
        <f>C12+_xlfn.FORECAST.ETS.CONFINT(A12,$B$2:$B$8,$A$2:$A$8,0.95,2,1)</f>
        <v>31.110203067945879</v>
      </c>
    </row>
    <row r="13" spans="1:5" x14ac:dyDescent="0.35">
      <c r="A13">
        <v>2031</v>
      </c>
      <c r="B13" s="7">
        <v>26.291470899470458</v>
      </c>
      <c r="C13" s="7">
        <f>_xlfn.FORECAST.ETS(A13,$B$2:$B$8,$A$2:$A$8,2,1)</f>
        <v>25.589116517106753</v>
      </c>
      <c r="D13" s="7">
        <f>C13-_xlfn.FORECAST.ETS.CONFINT(A13,$B$2:$B$8,$A$2:$A$8,0.95,2,1)</f>
        <v>19.166608910570126</v>
      </c>
      <c r="E13" s="7">
        <f>C13+_xlfn.FORECAST.ETS.CONFINT(A13,$B$2:$B$8,$A$2:$A$8,0.95,2,1)</f>
        <v>32.011624123643379</v>
      </c>
    </row>
    <row r="14" spans="1:5" x14ac:dyDescent="0.35">
      <c r="A14">
        <v>2032</v>
      </c>
      <c r="B14" s="7">
        <v>27.391470899470459</v>
      </c>
      <c r="C14" s="7">
        <f>_xlfn.FORECAST.ETS(A14,$B$2:$B$8,$A$2:$A$8,2,1)</f>
        <v>27.831029869261581</v>
      </c>
      <c r="D14" s="7">
        <f>C14-_xlfn.FORECAST.ETS.CONFINT(A14,$B$2:$B$8,$A$2:$A$8,0.95,2,1)</f>
        <v>20.87048847238356</v>
      </c>
      <c r="E14" s="7">
        <f>C14+_xlfn.FORECAST.ETS.CONFINT(A14,$B$2:$B$8,$A$2:$A$8,0.95,2,1)</f>
        <v>34.791571266139599</v>
      </c>
    </row>
    <row r="15" spans="1:5" x14ac:dyDescent="0.35">
      <c r="A15">
        <v>2033</v>
      </c>
      <c r="B15" s="7">
        <v>28.291470899470458</v>
      </c>
      <c r="C15" s="7">
        <f>_xlfn.FORECAST.ETS(A15,$B$2:$B$8,$A$2:$A$8,2,1)</f>
        <v>28.145015843626322</v>
      </c>
      <c r="D15" s="7">
        <f>C15-_xlfn.FORECAST.ETS.CONFINT(A15,$B$2:$B$8,$A$2:$A$8,0.95,2,1)</f>
        <v>20.682588787398178</v>
      </c>
      <c r="E15" s="7">
        <f>C15+_xlfn.FORECAST.ETS.CONFINT(A15,$B$2:$B$8,$A$2:$A$8,0.95,2,1)</f>
        <v>35.607442899854462</v>
      </c>
    </row>
    <row r="16" spans="1:5" x14ac:dyDescent="0.35">
      <c r="A16">
        <v>2034</v>
      </c>
      <c r="B16" s="7">
        <v>29.091470899470458</v>
      </c>
      <c r="C16" s="7">
        <f>_xlfn.FORECAST.ETS(A16,$B$2:$B$8,$A$2:$A$8,2,1)</f>
        <v>30.386929195781153</v>
      </c>
      <c r="D16" s="7">
        <f>C16-_xlfn.FORECAST.ETS.CONFINT(A16,$B$2:$B$8,$A$2:$A$8,0.95,2,1)</f>
        <v>22.454306766760656</v>
      </c>
      <c r="E16" s="7">
        <f>C16+_xlfn.FORECAST.ETS.CONFINT(A16,$B$2:$B$8,$A$2:$A$8,0.95,2,1)</f>
        <v>38.319551624801647</v>
      </c>
    </row>
    <row r="17" spans="1:5" x14ac:dyDescent="0.35">
      <c r="A17">
        <v>2035</v>
      </c>
      <c r="B17" s="7">
        <v>29.561470899470457</v>
      </c>
      <c r="C17" s="7">
        <f>_xlfn.FORECAST.ETS(A17,$B$2:$B$8,$A$2:$A$8,2,1)</f>
        <v>30.700915170145894</v>
      </c>
      <c r="D17" s="7">
        <f>C17-_xlfn.FORECAST.ETS.CONFINT(A17,$B$2:$B$8,$A$2:$A$8,0.95,2,1)</f>
        <v>22.32216652419514</v>
      </c>
      <c r="E17" s="7">
        <f>C17+_xlfn.FORECAST.ETS.CONFINT(A17,$B$2:$B$8,$A$2:$A$8,0.95,2,1)</f>
        <v>39.079663816096648</v>
      </c>
    </row>
    <row r="18" spans="1:5" x14ac:dyDescent="0.35">
      <c r="A18">
        <v>2036</v>
      </c>
      <c r="B18" s="7">
        <v>29.911470899470459</v>
      </c>
      <c r="C18" s="7">
        <f>_xlfn.FORECAST.ETS(A18,$B$2:$B$8,$A$2:$A$8,2,1)</f>
        <v>32.942828522300715</v>
      </c>
      <c r="D18" s="7">
        <f>C18-_xlfn.FORECAST.ETS.CONFINT(A18,$B$2:$B$8,$A$2:$A$8,0.95,2,1)</f>
        <v>24.140535687894211</v>
      </c>
      <c r="E18" s="7">
        <f>C18+_xlfn.FORECAST.ETS.CONFINT(A18,$B$2:$B$8,$A$2:$A$8,0.95,2,1)</f>
        <v>41.745121356707216</v>
      </c>
    </row>
    <row r="19" spans="1:5" x14ac:dyDescent="0.35">
      <c r="A19">
        <v>2037</v>
      </c>
      <c r="B19" s="7">
        <v>30.098613756613315</v>
      </c>
      <c r="C19" s="7">
        <f>_xlfn.FORECAST.ETS(A19,$B$2:$B$8,$A$2:$A$8,2,1)</f>
        <v>33.25681449666547</v>
      </c>
      <c r="D19" s="7">
        <f>C19-_xlfn.FORECAST.ETS.CONFINT(A19,$B$2:$B$8,$A$2:$A$8,0.95,2,1)</f>
        <v>24.048359716382091</v>
      </c>
      <c r="E19" s="7">
        <f>C19+_xlfn.FORECAST.ETS.CONFINT(A19,$B$2:$B$8,$A$2:$A$8,0.95,2,1)</f>
        <v>42.465269276948845</v>
      </c>
    </row>
    <row r="20" spans="1:5" x14ac:dyDescent="0.35">
      <c r="A20">
        <v>2038</v>
      </c>
      <c r="C20" s="7">
        <f>_xlfn.FORECAST.ETS(A20,$B$2:$B$8,$A$2:$A$8,2,1)</f>
        <v>35.498727848820295</v>
      </c>
      <c r="D20" s="7">
        <f>C20-_xlfn.FORECAST.ETS.CONFINT(A20,$B$2:$B$8,$A$2:$A$8,0.95,2,1)</f>
        <v>25.901284452873455</v>
      </c>
      <c r="E20" s="7">
        <f>C20+_xlfn.FORECAST.ETS.CONFINT(A20,$B$2:$B$8,$A$2:$A$8,0.95,2,1)</f>
        <v>45.096171244767135</v>
      </c>
    </row>
    <row r="21" spans="1:5" x14ac:dyDescent="0.35">
      <c r="A21">
        <v>2039</v>
      </c>
      <c r="C21" s="7">
        <f>_xlfn.FORECAST.ETS(A21,$B$2:$B$8,$A$2:$A$8,2,1)</f>
        <v>35.812713823185042</v>
      </c>
      <c r="D21" s="7">
        <f>C21-_xlfn.FORECAST.ETS.CONFINT(A21,$B$2:$B$8,$A$2:$A$8,0.95,2,1)</f>
        <v>25.839517201637442</v>
      </c>
      <c r="E21" s="7">
        <f>C21+_xlfn.FORECAST.ETS.CONFINT(A21,$B$2:$B$8,$A$2:$A$8,0.95,2,1)</f>
        <v>45.785910444732643</v>
      </c>
    </row>
    <row r="22" spans="1:5" x14ac:dyDescent="0.35">
      <c r="A22">
        <v>2040</v>
      </c>
      <c r="C22" s="7">
        <f>_xlfn.FORECAST.ETS(A22,$B$2:$B$8,$A$2:$A$8,2,1)</f>
        <v>38.05462717533986</v>
      </c>
      <c r="D22" s="7">
        <f>C22-_xlfn.FORECAST.ETS.CONFINT(A22,$B$2:$B$8,$A$2:$A$8,0.95,2,1)</f>
        <v>27.719329309980907</v>
      </c>
      <c r="E22" s="7">
        <f>C22+_xlfn.FORECAST.ETS.CONFINT(A22,$B$2:$B$8,$A$2:$A$8,0.95,2,1)</f>
        <v>48.389925040698813</v>
      </c>
    </row>
    <row r="23" spans="1:5" x14ac:dyDescent="0.35">
      <c r="A23">
        <v>2041</v>
      </c>
      <c r="C23" s="7">
        <f>_xlfn.FORECAST.ETS(A23,$B$2:$B$8,$A$2:$A$8,2,1)</f>
        <v>38.368613149704615</v>
      </c>
      <c r="D23" s="7">
        <f>C23-_xlfn.FORECAST.ETS.CONFINT(A23,$B$2:$B$8,$A$2:$A$8,0.95,2,1)</f>
        <v>27.681674173383506</v>
      </c>
      <c r="E23" s="7">
        <f>C23+_xlfn.FORECAST.ETS.CONFINT(A23,$B$2:$B$8,$A$2:$A$8,0.95,2,1)</f>
        <v>49.055552126025724</v>
      </c>
    </row>
    <row r="24" spans="1:5" x14ac:dyDescent="0.35">
      <c r="A24">
        <v>2042</v>
      </c>
      <c r="C24" s="7">
        <f>_xlfn.FORECAST.ETS(A24,$B$2:$B$8,$A$2:$A$8,2,1)</f>
        <v>40.610526501859432</v>
      </c>
      <c r="D24" s="7">
        <f>C24-_xlfn.FORECAST.ETS.CONFINT(A24,$B$2:$B$8,$A$2:$A$8,0.95,2,1)</f>
        <v>29.583153859134001</v>
      </c>
      <c r="E24" s="7">
        <f>C24+_xlfn.FORECAST.ETS.CONFINT(A24,$B$2:$B$8,$A$2:$A$8,0.95,2,1)</f>
        <v>51.637899144584864</v>
      </c>
    </row>
    <row r="25" spans="1:5" x14ac:dyDescent="0.35">
      <c r="A25">
        <v>2043</v>
      </c>
      <c r="C25" s="7">
        <f>_xlfn.FORECAST.ETS(A25,$B$2:$B$8,$A$2:$A$8,2,1)</f>
        <v>40.92451247622418</v>
      </c>
      <c r="D25" s="7">
        <f>C25-_xlfn.FORECAST.ETS.CONFINT(A25,$B$2:$B$8,$A$2:$A$8,0.95,2,1)</f>
        <v>29.565204288124512</v>
      </c>
      <c r="E25" s="7">
        <f>C25+_xlfn.FORECAST.ETS.CONFINT(A25,$B$2:$B$8,$A$2:$A$8,0.95,2,1)</f>
        <v>52.283820664323848</v>
      </c>
    </row>
    <row r="26" spans="1:5" x14ac:dyDescent="0.35">
      <c r="A26">
        <v>2044</v>
      </c>
      <c r="C26" s="7">
        <f>_xlfn.FORECAST.ETS(A26,$B$2:$B$8,$A$2:$A$8,2,1)</f>
        <v>43.166425828379005</v>
      </c>
      <c r="D26" s="7">
        <f>C26-_xlfn.FORECAST.ETS.CONFINT(A26,$B$2:$B$8,$A$2:$A$8,0.95,2,1)</f>
        <v>31.484610146605604</v>
      </c>
      <c r="E26" s="7">
        <f>C26+_xlfn.FORECAST.ETS.CONFINT(A26,$B$2:$B$8,$A$2:$A$8,0.95,2,1)</f>
        <v>54.848241510152405</v>
      </c>
    </row>
    <row r="27" spans="1:5" x14ac:dyDescent="0.35">
      <c r="A27">
        <v>2045</v>
      </c>
      <c r="C27" s="7">
        <f>_xlfn.FORECAST.ETS(A27,$B$2:$B$8,$A$2:$A$8,2,1)</f>
        <v>43.480411802743753</v>
      </c>
      <c r="D27" s="7">
        <f>C27-_xlfn.FORECAST.ETS.CONFINT(A27,$B$2:$B$8,$A$2:$A$8,0.95,2,1)</f>
        <v>31.48314103331812</v>
      </c>
      <c r="E27" s="7">
        <f>C27+_xlfn.FORECAST.ETS.CONFINT(A27,$B$2:$B$8,$A$2:$A$8,0.95,2,1)</f>
        <v>55.477682572169385</v>
      </c>
    </row>
    <row r="28" spans="1:5" x14ac:dyDescent="0.35">
      <c r="A28">
        <v>2046</v>
      </c>
      <c r="C28" s="7">
        <f>_xlfn.FORECAST.ETS(A28,$B$2:$B$8,$A$2:$A$8,2,1)</f>
        <v>45.72232515489857</v>
      </c>
      <c r="D28" s="7">
        <f>C28-_xlfn.FORECAST.ETS.CONFINT(A28,$B$2:$B$8,$A$2:$A$8,0.95,2,1)</f>
        <v>33.417683989594224</v>
      </c>
      <c r="E28" s="7">
        <f>C28+_xlfn.FORECAST.ETS.CONFINT(A28,$B$2:$B$8,$A$2:$A$8,0.95,2,1)</f>
        <v>58.026966320202916</v>
      </c>
    </row>
    <row r="29" spans="1:5" x14ac:dyDescent="0.35">
      <c r="A29">
        <v>2047</v>
      </c>
      <c r="C29" s="7">
        <f>_xlfn.FORECAST.ETS(A29,$B$2:$B$8,$A$2:$A$8,2,1)</f>
        <v>46.036311129263325</v>
      </c>
      <c r="D29" s="7">
        <f>C29-_xlfn.FORECAST.ETS.CONFINT(A29,$B$2:$B$8,$A$2:$A$8,0.95,2,1)</f>
        <v>33.430251615335635</v>
      </c>
      <c r="E29" s="7">
        <f>C29+_xlfn.FORECAST.ETS.CONFINT(A29,$B$2:$B$8,$A$2:$A$8,0.95,2,1)</f>
        <v>58.642370643191015</v>
      </c>
    </row>
    <row r="30" spans="1:5" x14ac:dyDescent="0.35">
      <c r="A30">
        <v>2048</v>
      </c>
      <c r="C30" s="7">
        <f>_xlfn.FORECAST.ETS(A30,$B$2:$B$8,$A$2:$A$8,2,1)</f>
        <v>48.27822448141815</v>
      </c>
      <c r="D30" s="7">
        <f>C30-_xlfn.FORECAST.ETS.CONFINT(A30,$B$2:$B$8,$A$2:$A$8,0.95,2,1)</f>
        <v>35.37778732872944</v>
      </c>
      <c r="E30" s="7">
        <f>C30+_xlfn.FORECAST.ETS.CONFINT(A30,$B$2:$B$8,$A$2:$A$8,0.95,2,1)</f>
        <v>61.178661634106859</v>
      </c>
    </row>
    <row r="31" spans="1:5" x14ac:dyDescent="0.35">
      <c r="A31">
        <v>2049</v>
      </c>
      <c r="C31" s="7">
        <f>_xlfn.FORECAST.ETS(A31,$B$2:$B$8,$A$2:$A$8,2,1)</f>
        <v>48.592210455782897</v>
      </c>
      <c r="D31" s="7">
        <f>C31-_xlfn.FORECAST.ETS.CONFINT(A31,$B$2:$B$8,$A$2:$A$8,0.95,2,1)</f>
        <v>35.402488102732384</v>
      </c>
      <c r="E31" s="7">
        <f>C31+_xlfn.FORECAST.ETS.CONFINT(A31,$B$2:$B$8,$A$2:$A$8,0.95,2,1)</f>
        <v>61.78193280883341</v>
      </c>
    </row>
    <row r="32" spans="1:5" x14ac:dyDescent="0.35">
      <c r="A32">
        <v>2050</v>
      </c>
      <c r="C32" s="7">
        <f>_xlfn.FORECAST.ETS(A32,$B$2:$B$8,$A$2:$A$8,2,1)</f>
        <v>50.834123807937715</v>
      </c>
      <c r="D32" s="7">
        <f>C32-_xlfn.FORECAST.ETS.CONFINT(A32,$B$2:$B$8,$A$2:$A$8,0.95,2,1)</f>
        <v>37.361326297002968</v>
      </c>
      <c r="E32" s="7">
        <f>C32+_xlfn.FORECAST.ETS.CONFINT(A32,$B$2:$B$8,$A$2:$A$8,0.95,2,1)</f>
        <v>64.306921318872455</v>
      </c>
    </row>
    <row r="33" spans="1:5" x14ac:dyDescent="0.35">
      <c r="A33">
        <v>2051</v>
      </c>
      <c r="C33" s="7">
        <f>_xlfn.FORECAST.ETS(A33,$B$2:$B$8,$A$2:$A$8,2,1)</f>
        <v>51.14810978230247</v>
      </c>
      <c r="D33" s="7">
        <f>C33-_xlfn.FORECAST.ETS.CONFINT(A33,$B$2:$B$8,$A$2:$A$8,0.95,2,1)</f>
        <v>37.396643484574398</v>
      </c>
      <c r="E33" s="7">
        <f>C33+_xlfn.FORECAST.ETS.CONFINT(A33,$B$2:$B$8,$A$2:$A$8,0.95,2,1)</f>
        <v>64.899576080030542</v>
      </c>
    </row>
    <row r="34" spans="1:5" x14ac:dyDescent="0.35">
      <c r="A34">
        <v>2052</v>
      </c>
      <c r="C34" s="7">
        <f>_xlfn.FORECAST.ETS(A34,$B$2:$B$8,$A$2:$A$8,2,1)</f>
        <v>53.390023134457294</v>
      </c>
      <c r="D34" s="7">
        <f>C34-_xlfn.FORECAST.ETS.CONFINT(A34,$B$2:$B$8,$A$2:$A$8,0.95,2,1)</f>
        <v>39.365424106162308</v>
      </c>
      <c r="E34" s="7">
        <f>C34+_xlfn.FORECAST.ETS.CONFINT(A34,$B$2:$B$8,$A$2:$A$8,0.95,2,1)</f>
        <v>67.414622162752281</v>
      </c>
    </row>
    <row r="35" spans="1:5" x14ac:dyDescent="0.35">
      <c r="A35">
        <v>2053</v>
      </c>
      <c r="C35" s="7">
        <f>_xlfn.FORECAST.ETS(A35,$B$2:$B$8,$A$2:$A$8,2,1)</f>
        <v>53.704009108822035</v>
      </c>
      <c r="D35" s="7">
        <f>C35-_xlfn.FORECAST.ETS.CONFINT(A35,$B$2:$B$8,$A$2:$A$8,0.95,2,1)</f>
        <v>39.410126263119302</v>
      </c>
      <c r="E35" s="7">
        <f>C35+_xlfn.FORECAST.ETS.CONFINT(A35,$B$2:$B$8,$A$2:$A$8,0.95,2,1)</f>
        <v>67.997891954524761</v>
      </c>
    </row>
    <row r="36" spans="1:5" x14ac:dyDescent="0.35">
      <c r="A36">
        <v>2054</v>
      </c>
      <c r="C36" s="7">
        <f>_xlfn.FORECAST.ETS(A36,$B$2:$B$8,$A$2:$A$8,2,1)</f>
        <v>55.94592246097686</v>
      </c>
      <c r="D36" s="7">
        <f>C36-_xlfn.FORECAST.ETS.CONFINT(A36,$B$2:$B$8,$A$2:$A$8,0.95,2,1)</f>
        <v>41.387735908081723</v>
      </c>
      <c r="E36" s="7">
        <f>C36+_xlfn.FORECAST.ETS.CONFINT(A36,$B$2:$B$8,$A$2:$A$8,0.95,2,1)</f>
        <v>70.504109013871997</v>
      </c>
    </row>
    <row r="37" spans="1:5" x14ac:dyDescent="0.35">
      <c r="A37">
        <v>2055</v>
      </c>
      <c r="C37" s="7">
        <f>_xlfn.FORECAST.ETS(A37,$B$2:$B$8,$A$2:$A$8,2,1)</f>
        <v>56.259908435341615</v>
      </c>
      <c r="D37" s="7">
        <f>C37-_xlfn.FORECAST.ETS.CONFINT(A37,$B$2:$B$8,$A$2:$A$8,0.95,2,1)</f>
        <v>41.440807189485056</v>
      </c>
      <c r="E37" s="7">
        <f>C37+_xlfn.FORECAST.ETS.CONFINT(A37,$B$2:$B$8,$A$2:$A$8,0.95,2,1)</f>
        <v>71.079009681198173</v>
      </c>
    </row>
    <row r="38" spans="1:5" x14ac:dyDescent="0.35">
      <c r="A38">
        <v>2056</v>
      </c>
      <c r="C38" s="7">
        <f>_xlfn.FORECAST.ETS(A38,$B$2:$B$8,$A$2:$A$8,2,1)</f>
        <v>58.501821787496425</v>
      </c>
      <c r="D38" s="7">
        <f>C38-_xlfn.FORECAST.ETS.CONFINT(A38,$B$2:$B$8,$A$2:$A$8,0.95,2,1)</f>
        <v>43.426320875055808</v>
      </c>
      <c r="E38" s="7">
        <f>C38+_xlfn.FORECAST.ETS.CONFINT(A38,$B$2:$B$8,$A$2:$A$8,0.95,2,1)</f>
        <v>73.577322699937042</v>
      </c>
    </row>
    <row r="39" spans="1:5" x14ac:dyDescent="0.35">
      <c r="A39">
        <v>2057</v>
      </c>
      <c r="C39" s="7">
        <f>_xlfn.FORECAST.ETS(A39,$B$2:$B$8,$A$2:$A$8,2,1)</f>
        <v>58.81580776186118</v>
      </c>
      <c r="D39" s="7">
        <f>C39-_xlfn.FORECAST.ETS.CONFINT(A39,$B$2:$B$8,$A$2:$A$8,0.95,2,1)</f>
        <v>43.486911790546593</v>
      </c>
      <c r="E39" s="7">
        <f>C39+_xlfn.FORECAST.ETS.CONFINT(A39,$B$2:$B$8,$A$2:$A$8,0.95,2,1)</f>
        <v>74.14470373317576</v>
      </c>
    </row>
    <row r="40" spans="1:5" x14ac:dyDescent="0.35">
      <c r="A40">
        <v>2058</v>
      </c>
      <c r="C40" s="7">
        <f>_xlfn.FORECAST.ETS(A40,$B$2:$B$8,$A$2:$A$8,2,1)</f>
        <v>61.057721114016005</v>
      </c>
      <c r="D40" s="7">
        <f>C40-_xlfn.FORECAST.ETS.CONFINT(A40,$B$2:$B$8,$A$2:$A$8,0.95,2,1)</f>
        <v>45.479551271644553</v>
      </c>
      <c r="E40" s="7">
        <f>C40+_xlfn.FORECAST.ETS.CONFINT(A40,$B$2:$B$8,$A$2:$A$8,0.95,2,1)</f>
        <v>76.635890956387456</v>
      </c>
    </row>
    <row r="41" spans="1:5" x14ac:dyDescent="0.35">
      <c r="A41">
        <v>2059</v>
      </c>
      <c r="C41" s="7">
        <f>_xlfn.FORECAST.ETS(A41,$B$2:$B$8,$A$2:$A$8,2,1)</f>
        <v>61.371707088380745</v>
      </c>
      <c r="D41" s="7">
        <f>C41-_xlfn.FORECAST.ETS.CONFINT(A41,$B$2:$B$8,$A$2:$A$8,0.95,2,1)</f>
        <v>45.546943005557836</v>
      </c>
      <c r="E41" s="7">
        <f>C41+_xlfn.FORECAST.ETS.CONFINT(A41,$B$2:$B$8,$A$2:$A$8,0.95,2,1)</f>
        <v>77.196471171203655</v>
      </c>
    </row>
    <row r="42" spans="1:5" x14ac:dyDescent="0.35">
      <c r="A42">
        <v>2060</v>
      </c>
      <c r="C42" s="7">
        <f>_xlfn.FORECAST.ETS(A42,$B$2:$B$8,$A$2:$A$8,2,1)</f>
        <v>63.61362044053557</v>
      </c>
      <c r="D42" s="7">
        <f>C42-_xlfn.FORECAST.ETS.CONFINT(A42,$B$2:$B$8,$A$2:$A$8,0.95,2,1)</f>
        <v>47.546046232951127</v>
      </c>
      <c r="E42" s="7">
        <f>C42+_xlfn.FORECAST.ETS.CONFINT(A42,$B$2:$B$8,$A$2:$A$8,0.95,2,1)</f>
        <v>79.681194648120012</v>
      </c>
    </row>
    <row r="43" spans="1:5" x14ac:dyDescent="0.35">
      <c r="A43">
        <v>2061</v>
      </c>
      <c r="C43" s="7">
        <f>_xlfn.FORECAST.ETS(A43,$B$2:$B$8,$A$2:$A$8,2,1)</f>
        <v>63.927606414900325</v>
      </c>
      <c r="D43" s="7">
        <f>C43-_xlfn.FORECAST.ETS.CONFINT(A43,$B$2:$B$8,$A$2:$A$8,0.95,2,1)</f>
        <v>47.619624226879147</v>
      </c>
      <c r="E43" s="7">
        <f>C43+_xlfn.FORECAST.ETS.CONFINT(A43,$B$2:$B$8,$A$2:$A$8,0.95,2,1)</f>
        <v>80.235588602921496</v>
      </c>
    </row>
    <row r="44" spans="1:5" x14ac:dyDescent="0.35">
      <c r="A44">
        <v>2062</v>
      </c>
      <c r="C44" s="7">
        <f>_xlfn.FORECAST.ETS(A44,$B$2:$B$8,$A$2:$A$8,2,1)</f>
        <v>66.169519767055149</v>
      </c>
      <c r="D44" s="7">
        <f>C44-_xlfn.FORECAST.ETS.CONFINT(A44,$B$2:$B$8,$A$2:$A$8,0.95,2,1)</f>
        <v>49.624622512209505</v>
      </c>
      <c r="E44" s="7">
        <f>C44+_xlfn.FORECAST.ETS.CONFINT(A44,$B$2:$B$8,$A$2:$A$8,0.95,2,1)</f>
        <v>82.7144170219008</v>
      </c>
    </row>
    <row r="45" spans="1:5" x14ac:dyDescent="0.35">
      <c r="A45">
        <v>2063</v>
      </c>
      <c r="C45" s="7">
        <f>_xlfn.FORECAST.ETS(A45,$B$2:$B$8,$A$2:$A$8,2,1)</f>
        <v>66.48350574141989</v>
      </c>
      <c r="D45" s="7">
        <f>C45-_xlfn.FORECAST.ETS.CONFINT(A45,$B$2:$B$8,$A$2:$A$8,0.95,2,1)</f>
        <v>49.703856532338023</v>
      </c>
      <c r="E45" s="7">
        <f>C45+_xlfn.FORECAST.ETS.CONFINT(A45,$B$2:$B$8,$A$2:$A$8,0.95,2,1)</f>
        <v>83.263154950501757</v>
      </c>
    </row>
    <row r="46" spans="1:5" x14ac:dyDescent="0.35">
      <c r="A46">
        <v>2064</v>
      </c>
      <c r="C46" s="7">
        <f>_xlfn.FORECAST.ETS(A46,$B$2:$B$8,$A$2:$A$8,2,1)</f>
        <v>68.725419093574715</v>
      </c>
      <c r="D46" s="7">
        <f>C46-_xlfn.FORECAST.ETS.CONFINT(A46,$B$2:$B$8,$A$2:$A$8,0.95,2,1)</f>
        <v>51.714257170111495</v>
      </c>
      <c r="E46" s="7">
        <f>C46+_xlfn.FORECAST.ETS.CONFINT(A46,$B$2:$B$8,$A$2:$A$8,0.95,2,1)</f>
        <v>85.736581017037935</v>
      </c>
    </row>
    <row r="47" spans="1:5" x14ac:dyDescent="0.35">
      <c r="A47">
        <v>2065</v>
      </c>
      <c r="C47" s="7">
        <f>_xlfn.FORECAST.ETS(A47,$B$2:$B$8,$A$2:$A$8,2,1)</f>
        <v>69.03940506793947</v>
      </c>
      <c r="D47" s="7">
        <f>C47-_xlfn.FORECAST.ETS.CONFINT(A47,$B$2:$B$8,$A$2:$A$8,0.95,2,1)</f>
        <v>51.798686015095541</v>
      </c>
      <c r="E47" s="7">
        <f>C47+_xlfn.FORECAST.ETS.CONFINT(A47,$B$2:$B$8,$A$2:$A$8,0.95,2,1)</f>
        <v>86.280124120783398</v>
      </c>
    </row>
    <row r="48" spans="1:5" x14ac:dyDescent="0.35">
      <c r="A48">
        <v>2066</v>
      </c>
      <c r="C48" s="7">
        <f>_xlfn.FORECAST.ETS(A48,$B$2:$B$8,$A$2:$A$8,2,1)</f>
        <v>71.28131842009428</v>
      </c>
      <c r="D48" s="7">
        <f>C48-_xlfn.FORECAST.ETS.CONFINT(A48,$B$2:$B$8,$A$2:$A$8,0.95,2,1)</f>
        <v>53.814058848773243</v>
      </c>
      <c r="E48" s="7">
        <f>C48+_xlfn.FORECAST.ETS.CONFINT(A48,$B$2:$B$8,$A$2:$A$8,0.95,2,1)</f>
        <v>88.748577991415317</v>
      </c>
    </row>
    <row r="49" spans="1:5" x14ac:dyDescent="0.35">
      <c r="A49">
        <v>2067</v>
      </c>
      <c r="C49" s="7">
        <f>_xlfn.FORECAST.ETS(A49,$B$2:$B$8,$A$2:$A$8,2,1)</f>
        <v>71.595304394459035</v>
      </c>
      <c r="D49" s="7">
        <f>C49-_xlfn.FORECAST.ETS.CONFINT(A49,$B$2:$B$8,$A$2:$A$8,0.95,2,1)</f>
        <v>53.903278443212159</v>
      </c>
      <c r="E49" s="7">
        <f>C49+_xlfn.FORECAST.ETS.CONFINT(A49,$B$2:$B$8,$A$2:$A$8,0.95,2,1)</f>
        <v>89.287330345705911</v>
      </c>
    </row>
    <row r="50" spans="1:5" x14ac:dyDescent="0.35">
      <c r="A50">
        <v>2068</v>
      </c>
      <c r="C50" s="7">
        <f>_xlfn.FORECAST.ETS(A50,$B$2:$B$8,$A$2:$A$8,2,1)</f>
        <v>73.83721774661386</v>
      </c>
      <c r="D50" s="7">
        <f>C50-_xlfn.FORECAST.ETS.CONFINT(A50,$B$2:$B$8,$A$2:$A$8,0.95,2,1)</f>
        <v>55.923245334351982</v>
      </c>
      <c r="E50" s="7">
        <f>C50+_xlfn.FORECAST.ETS.CONFINT(A50,$B$2:$B$8,$A$2:$A$8,0.95,2,1)</f>
        <v>91.751190158875744</v>
      </c>
    </row>
    <row r="51" spans="1:5" x14ac:dyDescent="0.35">
      <c r="A51">
        <v>2069</v>
      </c>
      <c r="C51" s="7">
        <f>_xlfn.FORECAST.ETS(A51,$B$2:$B$8,$A$2:$A$8,2,1)</f>
        <v>74.1512037209786</v>
      </c>
      <c r="D51" s="7">
        <f>C51-_xlfn.FORECAST.ETS.CONFINT(A51,$B$2:$B$8,$A$2:$A$8,0.95,2,1)</f>
        <v>56.016899335137111</v>
      </c>
      <c r="E51" s="7">
        <f>C51+_xlfn.FORECAST.ETS.CONFINT(A51,$B$2:$B$8,$A$2:$A$8,0.95,2,1)</f>
        <v>92.285508106820089</v>
      </c>
    </row>
    <row r="52" spans="1:5" x14ac:dyDescent="0.35">
      <c r="A52">
        <v>2070</v>
      </c>
      <c r="C52" s="7">
        <f>_xlfn.FORECAST.ETS(A52,$B$2:$B$8,$A$2:$A$8,2,1)</f>
        <v>76.393117073133425</v>
      </c>
      <c r="D52" s="7">
        <f>C52-_xlfn.FORECAST.ETS.CONFINT(A52,$B$2:$B$8,$A$2:$A$8,0.95,2,1)</f>
        <v>58.041125804352262</v>
      </c>
      <c r="E52" s="7">
        <f>C52+_xlfn.FORECAST.ETS.CONFINT(A52,$B$2:$B$8,$A$2:$A$8,0.95,2,1)</f>
        <v>94.745108341914587</v>
      </c>
    </row>
    <row r="53" spans="1:5" x14ac:dyDescent="0.35">
      <c r="A53">
        <v>2071</v>
      </c>
      <c r="C53" s="7">
        <f>_xlfn.FORECAST.ETS(A53,$B$2:$B$8,$A$2:$A$8,2,1)</f>
        <v>76.70710304749818</v>
      </c>
      <c r="D53" s="7">
        <f>C53-_xlfn.FORECAST.ETS.CONFINT(A53,$B$2:$B$8,$A$2:$A$8,0.95,2,1)</f>
        <v>58.138898101074787</v>
      </c>
      <c r="E53" s="7">
        <f>C53+_xlfn.FORECAST.ETS.CONFINT(A53,$B$2:$B$8,$A$2:$A$8,0.95,2,1)</f>
        <v>95.275307993921572</v>
      </c>
    </row>
    <row r="54" spans="1:5" x14ac:dyDescent="0.35">
      <c r="A54">
        <v>2072</v>
      </c>
      <c r="C54" s="7">
        <f>_xlfn.FORECAST.ETS(A54,$B$2:$B$8,$A$2:$A$8,2,1)</f>
        <v>78.949016399653004</v>
      </c>
      <c r="D54" s="7">
        <f>C54-_xlfn.FORECAST.ETS.CONFINT(A54,$B$2:$B$8,$A$2:$A$8,0.95,2,1)</f>
        <v>60.167086617669902</v>
      </c>
      <c r="E54" s="7">
        <f>C54+_xlfn.FORECAST.ETS.CONFINT(A54,$B$2:$B$8,$A$2:$A$8,0.95,2,1)</f>
        <v>97.730946181636114</v>
      </c>
    </row>
    <row r="55" spans="1:5" x14ac:dyDescent="0.35">
      <c r="A55">
        <v>2073</v>
      </c>
      <c r="C55" s="7">
        <f>_xlfn.FORECAST.ETS(A55,$B$2:$B$8,$A$2:$A$8,2,1)</f>
        <v>79.263002374017745</v>
      </c>
      <c r="D55" s="7">
        <f>C55-_xlfn.FORECAST.ETS.CONFINT(A55,$B$2:$B$8,$A$2:$A$8,0.95,2,1)</f>
        <v>60.268695280609336</v>
      </c>
      <c r="E55" s="7">
        <f>C55+_xlfn.FORECAST.ETS.CONFINT(A55,$B$2:$B$8,$A$2:$A$8,0.95,2,1)</f>
        <v>98.257309467426154</v>
      </c>
    </row>
    <row r="56" spans="1:5" x14ac:dyDescent="0.35">
      <c r="A56">
        <v>2074</v>
      </c>
      <c r="C56" s="7">
        <f>_xlfn.FORECAST.ETS(A56,$B$2:$B$8,$A$2:$A$8,2,1)</f>
        <v>81.50491572617257</v>
      </c>
      <c r="D56" s="7">
        <f>C56-_xlfn.FORECAST.ETS.CONFINT(A56,$B$2:$B$8,$A$2:$A$8,0.95,2,1)</f>
        <v>62.300579820391647</v>
      </c>
      <c r="E56" s="7">
        <f>C56+_xlfn.FORECAST.ETS.CONFINT(A56,$B$2:$B$8,$A$2:$A$8,0.95,2,1)</f>
        <v>100.70925163195349</v>
      </c>
    </row>
    <row r="57" spans="1:5" x14ac:dyDescent="0.35">
      <c r="A57">
        <v>2075</v>
      </c>
      <c r="C57" s="7">
        <f>_xlfn.FORECAST.ETS(A57,$B$2:$B$8,$A$2:$A$8,2,1)</f>
        <v>81.818901700537324</v>
      </c>
      <c r="D57" s="7">
        <f>C57-_xlfn.FORECAST.ETS.CONFINT(A57,$B$2:$B$8,$A$2:$A$8,0.95,2,1)</f>
        <v>62.405772168843185</v>
      </c>
      <c r="E57" s="7">
        <f>C57+_xlfn.FORECAST.ETS.CONFINT(A57,$B$2:$B$8,$A$2:$A$8,0.95,2,1)</f>
        <v>101.23203123223146</v>
      </c>
    </row>
    <row r="58" spans="1:5" x14ac:dyDescent="0.35">
      <c r="A58">
        <v>2076</v>
      </c>
      <c r="C58" s="7">
        <f>_xlfn.FORECAST.ETS(A58,$B$2:$B$8,$A$2:$A$8,2,1)</f>
        <v>84.060815052692135</v>
      </c>
      <c r="D58" s="7">
        <f>C58-_xlfn.FORECAST.ETS.CONFINT(A58,$B$2:$B$8,$A$2:$A$8,0.95,2,1)</f>
        <v>64.441113759180965</v>
      </c>
      <c r="E58" s="7">
        <f>C58+_xlfn.FORECAST.ETS.CONFINT(A58,$B$2:$B$8,$A$2:$A$8,0.95,2,1)</f>
        <v>103.68051634620331</v>
      </c>
    </row>
    <row r="59" spans="1:5" x14ac:dyDescent="0.35">
      <c r="A59">
        <v>2077</v>
      </c>
      <c r="C59" s="7">
        <f>_xlfn.FORECAST.ETS(A59,$B$2:$B$8,$A$2:$A$8,2,1)</f>
        <v>84.37480102705689</v>
      </c>
      <c r="D59" s="7">
        <f>C59-_xlfn.FORECAST.ETS.CONFINT(A59,$B$2:$B$8,$A$2:$A$8,0.95,2,1)</f>
        <v>64.549662306828779</v>
      </c>
      <c r="E59" s="7">
        <f>C59+_xlfn.FORECAST.ETS.CONFINT(A59,$B$2:$B$8,$A$2:$A$8,0.95,2,1)</f>
        <v>104.199939747285</v>
      </c>
    </row>
    <row r="60" spans="1:5" x14ac:dyDescent="0.35">
      <c r="A60">
        <v>2078</v>
      </c>
      <c r="C60" s="7">
        <f>_xlfn.FORECAST.ETS(A60,$B$2:$B$8,$A$2:$A$8,2,1)</f>
        <v>86.616714379211714</v>
      </c>
      <c r="D60" s="7">
        <f>C60-_xlfn.FORECAST.ETS.CONFINT(A60,$B$2:$B$8,$A$2:$A$8,0.95,2,1)</f>
        <v>66.588245348704874</v>
      </c>
      <c r="E60" s="7">
        <f>C60+_xlfn.FORECAST.ETS.CONFINT(A60,$B$2:$B$8,$A$2:$A$8,0.95,2,1)</f>
        <v>106.64518340971856</v>
      </c>
    </row>
    <row r="61" spans="1:5" x14ac:dyDescent="0.35">
      <c r="A61">
        <v>2079</v>
      </c>
      <c r="C61" s="7">
        <f>_xlfn.FORECAST.ETS(A61,$B$2:$B$8,$A$2:$A$8,2,1)</f>
        <v>86.930700353576455</v>
      </c>
      <c r="D61" s="7">
        <f>C61-_xlfn.FORECAST.ETS.CONFINT(A61,$B$2:$B$8,$A$2:$A$8,0.95,2,1)</f>
        <v>66.699944442795982</v>
      </c>
      <c r="E61" s="7">
        <f>C61+_xlfn.FORECAST.ETS.CONFINT(A61,$B$2:$B$8,$A$2:$A$8,0.95,2,1)</f>
        <v>107.16145626435693</v>
      </c>
    </row>
    <row r="62" spans="1:5" x14ac:dyDescent="0.35">
      <c r="A62">
        <v>2080</v>
      </c>
      <c r="C62" s="7">
        <f>_xlfn.FORECAST.ETS(A62,$B$2:$B$8,$A$2:$A$8,2,1)</f>
        <v>89.17261370573128</v>
      </c>
      <c r="D62" s="7">
        <f>C62-_xlfn.FORECAST.ETS.CONFINT(A62,$B$2:$B$8,$A$2:$A$8,0.95,2,1)</f>
        <v>68.741573650531294</v>
      </c>
      <c r="E62" s="7">
        <f>C62+_xlfn.FORECAST.ETS.CONFINT(A62,$B$2:$B$8,$A$2:$A$8,0.95,2,1)</f>
        <v>109.60365376093127</v>
      </c>
    </row>
    <row r="63" spans="1:5" x14ac:dyDescent="0.35">
      <c r="A63">
        <v>2081</v>
      </c>
      <c r="C63" s="7">
        <f>_xlfn.FORECAST.ETS(A63,$B$2:$B$8,$A$2:$A$8,2,1)</f>
        <v>89.486599680096035</v>
      </c>
      <c r="D63" s="7">
        <f>C63-_xlfn.FORECAST.ETS.CONFINT(A63,$B$2:$B$8,$A$2:$A$8,0.95,2,1)</f>
        <v>68.856236665179779</v>
      </c>
      <c r="E63" s="7">
        <f>C63+_xlfn.FORECAST.ETS.CONFINT(A63,$B$2:$B$8,$A$2:$A$8,0.95,2,1)</f>
        <v>110.11696269501229</v>
      </c>
    </row>
    <row r="64" spans="1:5" x14ac:dyDescent="0.35">
      <c r="A64">
        <v>2082</v>
      </c>
      <c r="C64" s="7">
        <f>_xlfn.FORECAST.ETS(A64,$B$2:$B$8,$A$2:$A$8,2,1)</f>
        <v>91.728513032250845</v>
      </c>
      <c r="D64" s="7">
        <f>C64-_xlfn.FORECAST.ETS.CONFINT(A64,$B$2:$B$8,$A$2:$A$8,0.95,2,1)</f>
        <v>70.900734501709877</v>
      </c>
      <c r="E64" s="7">
        <f>C64+_xlfn.FORECAST.ETS.CONFINT(A64,$B$2:$B$8,$A$2:$A$8,0.95,2,1)</f>
        <v>112.55629156279181</v>
      </c>
    </row>
    <row r="65" spans="1:5" x14ac:dyDescent="0.35">
      <c r="A65">
        <v>2083</v>
      </c>
      <c r="C65" s="7">
        <f>_xlfn.FORECAST.ETS(A65,$B$2:$B$8,$A$2:$A$8,2,1)</f>
        <v>92.0424990066156</v>
      </c>
      <c r="D65" s="7">
        <f>C65-_xlfn.FORECAST.ETS.CONFINT(A65,$B$2:$B$8,$A$2:$A$8,0.95,2,1)</f>
        <v>71.018191477704207</v>
      </c>
      <c r="E65" s="7">
        <f>C65+_xlfn.FORECAST.ETS.CONFINT(A65,$B$2:$B$8,$A$2:$A$8,0.95,2,1)</f>
        <v>113.06680653552699</v>
      </c>
    </row>
    <row r="66" spans="1:5" x14ac:dyDescent="0.35">
      <c r="A66">
        <v>2084</v>
      </c>
      <c r="C66" s="7">
        <f>_xlfn.FORECAST.ETS(A66,$B$2:$B$8,$A$2:$A$8,2,1)</f>
        <v>94.284412358770425</v>
      </c>
      <c r="D66" s="7">
        <f>C66-_xlfn.FORECAST.ETS.CONFINT(A66,$B$2:$B$8,$A$2:$A$8,0.95,2,1)</f>
        <v>73.065395990823077</v>
      </c>
      <c r="E66" s="7">
        <f>C66+_xlfn.FORECAST.ETS.CONFINT(A66,$B$2:$B$8,$A$2:$A$8,0.95,2,1)</f>
        <v>115.50342872671777</v>
      </c>
    </row>
    <row r="67" spans="1:5" x14ac:dyDescent="0.35">
      <c r="A67">
        <v>2085</v>
      </c>
      <c r="C67" s="7">
        <f>_xlfn.FORECAST.ETS(A67,$B$2:$B$8,$A$2:$A$8,2,1)</f>
        <v>94.598398333135165</v>
      </c>
      <c r="D67" s="7">
        <f>C67-_xlfn.FORECAST.ETS.CONFINT(A67,$B$2:$B$8,$A$2:$A$8,0.95,2,1)</f>
        <v>73.185491638161636</v>
      </c>
      <c r="E67" s="7">
        <f>C67+_xlfn.FORECAST.ETS.CONFINT(A67,$B$2:$B$8,$A$2:$A$8,0.95,2,1)</f>
        <v>116.01130502810869</v>
      </c>
    </row>
    <row r="68" spans="1:5" x14ac:dyDescent="0.35">
      <c r="A68">
        <v>2086</v>
      </c>
      <c r="C68" s="7">
        <f>_xlfn.FORECAST.ETS(A68,$B$2:$B$8,$A$2:$A$8,2,1)</f>
        <v>96.84031168528999</v>
      </c>
      <c r="D68" s="7">
        <f>C68-_xlfn.FORECAST.ETS.CONFINT(A68,$B$2:$B$8,$A$2:$A$8,0.95,2,1)</f>
        <v>75.235254623757697</v>
      </c>
      <c r="E68" s="7">
        <f>C68+_xlfn.FORECAST.ETS.CONFINT(A68,$B$2:$B$8,$A$2:$A$8,0.95,2,1)</f>
        <v>118.44536874682228</v>
      </c>
    </row>
    <row r="69" spans="1:5" x14ac:dyDescent="0.35">
      <c r="A69">
        <v>2087</v>
      </c>
      <c r="C69" s="7">
        <f>_xlfn.FORECAST.ETS(A69,$B$2:$B$8,$A$2:$A$8,2,1)</f>
        <v>97.154297659654745</v>
      </c>
      <c r="D69" s="7">
        <f>C69-_xlfn.FORECAST.ETS.CONFINT(A69,$B$2:$B$8,$A$2:$A$8,0.95,2,1)</f>
        <v>75.357846621092406</v>
      </c>
      <c r="E69" s="7">
        <f>C69+_xlfn.FORECAST.ETS.CONFINT(A69,$B$2:$B$8,$A$2:$A$8,0.95,2,1)</f>
        <v>118.95074869821708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C112-5CA2-4925-A104-3F3FA6C07A8E}">
  <dimension ref="A1:H70"/>
  <sheetViews>
    <sheetView topLeftCell="A13" workbookViewId="0">
      <selection activeCell="Q49" sqref="Q49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  <col min="7" max="7" width="12" customWidth="1"/>
    <col min="8" max="8" width="8.1796875" customWidth="1"/>
  </cols>
  <sheetData>
    <row r="1" spans="1:8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G1" t="s">
        <v>66</v>
      </c>
      <c r="H1" t="s">
        <v>67</v>
      </c>
    </row>
    <row r="2" spans="1:8" x14ac:dyDescent="0.35">
      <c r="A2">
        <v>2020</v>
      </c>
      <c r="B2" s="7">
        <v>14.440000000000001</v>
      </c>
      <c r="G2" t="s">
        <v>68</v>
      </c>
      <c r="H2" s="17">
        <f>_xlfn.FORECAST.ETS.STAT($B$2:$B$19,$A$2:$A$19,1,3,1)</f>
        <v>0.751</v>
      </c>
    </row>
    <row r="3" spans="1:8" x14ac:dyDescent="0.35">
      <c r="A3">
        <v>2021</v>
      </c>
      <c r="B3" s="7">
        <v>12.391111111111115</v>
      </c>
      <c r="G3" t="s">
        <v>69</v>
      </c>
      <c r="H3" s="17">
        <f>_xlfn.FORECAST.ETS.STAT($B$2:$B$19,$A$2:$A$19,2,3,1)</f>
        <v>1E-3</v>
      </c>
    </row>
    <row r="4" spans="1:8" x14ac:dyDescent="0.35">
      <c r="A4">
        <v>2022</v>
      </c>
      <c r="B4" s="7">
        <v>12.639999999999999</v>
      </c>
      <c r="G4" t="s">
        <v>70</v>
      </c>
      <c r="H4" s="17">
        <f>_xlfn.FORECAST.ETS.STAT($B$2:$B$19,$A$2:$A$19,3,3,1)</f>
        <v>1E-3</v>
      </c>
    </row>
    <row r="5" spans="1:8" x14ac:dyDescent="0.35">
      <c r="A5">
        <v>2023</v>
      </c>
      <c r="B5" s="7">
        <v>14.516666666666667</v>
      </c>
      <c r="G5" t="s">
        <v>71</v>
      </c>
      <c r="H5" s="17">
        <f>_xlfn.FORECAST.ETS.STAT($B$2:$B$19,$A$2:$A$19,4,3,1)</f>
        <v>0.48135725804066781</v>
      </c>
    </row>
    <row r="6" spans="1:8" x14ac:dyDescent="0.35">
      <c r="A6">
        <v>2024</v>
      </c>
      <c r="B6" s="7">
        <v>19.392222222222216</v>
      </c>
      <c r="G6" t="s">
        <v>72</v>
      </c>
      <c r="H6" s="17">
        <f>_xlfn.FORECAST.ETS.STAT($B$2:$B$19,$A$2:$A$19,5,3,1)</f>
        <v>2.6460076318271387E-2</v>
      </c>
    </row>
    <row r="7" spans="1:8" x14ac:dyDescent="0.35">
      <c r="A7">
        <v>2025</v>
      </c>
      <c r="B7" s="7">
        <v>18.827777777777779</v>
      </c>
      <c r="G7" t="s">
        <v>73</v>
      </c>
      <c r="H7" s="17">
        <f>_xlfn.FORECAST.ETS.STAT($B$2:$B$19,$A$2:$A$19,6,3,1)</f>
        <v>0.76430567616282785</v>
      </c>
    </row>
    <row r="8" spans="1:8" x14ac:dyDescent="0.35">
      <c r="A8">
        <v>2026</v>
      </c>
      <c r="B8" s="7">
        <v>19.849851851851327</v>
      </c>
      <c r="G8" t="s">
        <v>74</v>
      </c>
      <c r="H8" s="17">
        <f>_xlfn.FORECAST.ETS.STAT($B$2:$B$19,$A$2:$A$19,7,3,1)</f>
        <v>0.84781032141178569</v>
      </c>
    </row>
    <row r="9" spans="1:8" x14ac:dyDescent="0.35">
      <c r="A9">
        <v>2027</v>
      </c>
      <c r="B9" s="7">
        <v>21.130391534391038</v>
      </c>
    </row>
    <row r="10" spans="1:8" x14ac:dyDescent="0.35">
      <c r="A10">
        <v>2028</v>
      </c>
      <c r="B10" s="7">
        <v>22.410931216930749</v>
      </c>
    </row>
    <row r="11" spans="1:8" x14ac:dyDescent="0.35">
      <c r="A11">
        <v>2029</v>
      </c>
      <c r="B11" s="7">
        <v>23.69147089947046</v>
      </c>
    </row>
    <row r="12" spans="1:8" x14ac:dyDescent="0.35">
      <c r="A12">
        <v>2030</v>
      </c>
      <c r="B12" s="7">
        <v>25.091470899470458</v>
      </c>
    </row>
    <row r="13" spans="1:8" x14ac:dyDescent="0.35">
      <c r="A13">
        <v>2031</v>
      </c>
      <c r="B13" s="7">
        <v>26.291470899470458</v>
      </c>
    </row>
    <row r="14" spans="1:8" x14ac:dyDescent="0.35">
      <c r="A14">
        <v>2032</v>
      </c>
      <c r="B14" s="7">
        <v>27.391470899470459</v>
      </c>
    </row>
    <row r="15" spans="1:8" x14ac:dyDescent="0.35">
      <c r="A15">
        <v>2033</v>
      </c>
      <c r="B15" s="7">
        <v>28.291470899470458</v>
      </c>
    </row>
    <row r="16" spans="1:8" x14ac:dyDescent="0.35">
      <c r="A16">
        <v>2034</v>
      </c>
      <c r="B16" s="7">
        <v>29.091470899470458</v>
      </c>
    </row>
    <row r="17" spans="1:5" x14ac:dyDescent="0.35">
      <c r="A17">
        <v>2035</v>
      </c>
      <c r="B17" s="7">
        <v>29.561470899470457</v>
      </c>
    </row>
    <row r="18" spans="1:5" x14ac:dyDescent="0.35">
      <c r="A18">
        <v>2036</v>
      </c>
      <c r="B18" s="7">
        <v>29.911470899470459</v>
      </c>
    </row>
    <row r="19" spans="1:5" x14ac:dyDescent="0.35">
      <c r="A19">
        <v>2037</v>
      </c>
      <c r="B19" s="7">
        <v>30.098613756613315</v>
      </c>
      <c r="C19" s="7">
        <v>30.098613756613315</v>
      </c>
      <c r="D19" s="7">
        <v>30.098613756613315</v>
      </c>
      <c r="E19" s="7">
        <v>30.098613756613315</v>
      </c>
    </row>
    <row r="20" spans="1:5" x14ac:dyDescent="0.35">
      <c r="A20">
        <v>2038</v>
      </c>
      <c r="B20" s="7">
        <v>30.110399470899033</v>
      </c>
      <c r="C20" s="7">
        <f>_xlfn.FORECAST.ETS(A20,$B$2:$B$19,$A$2:$A$19,3,1)</f>
        <v>32.062966014527859</v>
      </c>
      <c r="D20" s="7">
        <f>C20-_xlfn.FORECAST.ETS.CONFINT(A20,$B$2:$B$19,$A$2:$A$19,0.95,3,1)</f>
        <v>29.478547245026764</v>
      </c>
      <c r="E20" s="7">
        <f>C20+_xlfn.FORECAST.ETS.CONFINT(A20,$B$2:$B$19,$A$2:$A$19,0.95,3,1)</f>
        <v>34.647384784028958</v>
      </c>
    </row>
    <row r="21" spans="1:5" x14ac:dyDescent="0.35">
      <c r="A21">
        <v>2039</v>
      </c>
      <c r="C21" s="7">
        <f>_xlfn.FORECAST.ETS(A21,$B$2:$B$19,$A$2:$A$19,3,1)</f>
        <v>33.339422823523016</v>
      </c>
      <c r="D21" s="7">
        <f>C21-_xlfn.FORECAST.ETS.CONFINT(A21,$B$2:$B$19,$A$2:$A$19,0.95,3,1)</f>
        <v>30.105795415217656</v>
      </c>
      <c r="E21" s="7">
        <f>C21+_xlfn.FORECAST.ETS.CONFINT(A21,$B$2:$B$19,$A$2:$A$19,0.95,3,1)</f>
        <v>36.573050231828375</v>
      </c>
    </row>
    <row r="22" spans="1:5" x14ac:dyDescent="0.35">
      <c r="A22">
        <v>2040</v>
      </c>
      <c r="C22" s="7">
        <f>_xlfn.FORECAST.ETS(A22,$B$2:$B$19,$A$2:$A$19,3,1)</f>
        <v>33.599086626748019</v>
      </c>
      <c r="D22" s="7">
        <f>C22-_xlfn.FORECAST.ETS.CONFINT(A22,$B$2:$B$19,$A$2:$A$19,0.95,3,1)</f>
        <v>29.825027236382809</v>
      </c>
      <c r="E22" s="7">
        <f>C22+_xlfn.FORECAST.ETS.CONFINT(A22,$B$2:$B$19,$A$2:$A$19,0.95,3,1)</f>
        <v>37.373146017113228</v>
      </c>
    </row>
    <row r="23" spans="1:5" x14ac:dyDescent="0.35">
      <c r="A23">
        <v>2041</v>
      </c>
      <c r="C23" s="7">
        <f>_xlfn.FORECAST.ETS(A23,$B$2:$B$19,$A$2:$A$19,3,1)</f>
        <v>35.468261852700856</v>
      </c>
      <c r="D23" s="7">
        <f>C23-_xlfn.FORECAST.ETS.CONFINT(A23,$B$2:$B$19,$A$2:$A$19,0.95,3,1)</f>
        <v>31.219633029548795</v>
      </c>
      <c r="E23" s="7">
        <f>C23+_xlfn.FORECAST.ETS.CONFINT(A23,$B$2:$B$19,$A$2:$A$19,0.95,3,1)</f>
        <v>39.716890675852916</v>
      </c>
    </row>
    <row r="24" spans="1:5" x14ac:dyDescent="0.35">
      <c r="A24">
        <v>2042</v>
      </c>
      <c r="C24" s="7">
        <f>_xlfn.FORECAST.ETS(A24,$B$2:$B$19,$A$2:$A$19,3,1)</f>
        <v>36.744718661696012</v>
      </c>
      <c r="D24" s="7">
        <f>C24-_xlfn.FORECAST.ETS.CONFINT(A24,$B$2:$B$19,$A$2:$A$19,0.95,3,1)</f>
        <v>32.069446533591261</v>
      </c>
      <c r="E24" s="7">
        <f>C24+_xlfn.FORECAST.ETS.CONFINT(A24,$B$2:$B$19,$A$2:$A$19,0.95,3,1)</f>
        <v>41.419990789800764</v>
      </c>
    </row>
    <row r="25" spans="1:5" x14ac:dyDescent="0.35">
      <c r="A25">
        <v>2043</v>
      </c>
      <c r="C25" s="7">
        <f>_xlfn.FORECAST.ETS(A25,$B$2:$B$19,$A$2:$A$19,3,1)</f>
        <v>37.004382464921015</v>
      </c>
      <c r="D25" s="7">
        <f>C25-_xlfn.FORECAST.ETS.CONFINT(A25,$B$2:$B$19,$A$2:$A$19,0.95,3,1)</f>
        <v>31.937274377585979</v>
      </c>
      <c r="E25" s="7">
        <f>C25+_xlfn.FORECAST.ETS.CONFINT(A25,$B$2:$B$19,$A$2:$A$19,0.95,3,1)</f>
        <v>42.071490552256051</v>
      </c>
    </row>
    <row r="26" spans="1:5" x14ac:dyDescent="0.35">
      <c r="A26">
        <v>2044</v>
      </c>
      <c r="C26" s="7">
        <f>_xlfn.FORECAST.ETS(A26,$B$2:$B$19,$A$2:$A$19,3,1)</f>
        <v>38.873557690873859</v>
      </c>
      <c r="D26" s="7">
        <f>C26-_xlfn.FORECAST.ETS.CONFINT(A26,$B$2:$B$19,$A$2:$A$19,0.95,3,1)</f>
        <v>33.440950218863932</v>
      </c>
      <c r="E26" s="7">
        <f>C26+_xlfn.FORECAST.ETS.CONFINT(A26,$B$2:$B$19,$A$2:$A$19,0.95,3,1)</f>
        <v>44.306165162883786</v>
      </c>
    </row>
    <row r="27" spans="1:5" x14ac:dyDescent="0.35">
      <c r="A27">
        <v>2045</v>
      </c>
      <c r="C27" s="7">
        <f>_xlfn.FORECAST.ETS(A27,$B$2:$B$19,$A$2:$A$19,3,1)</f>
        <v>40.150014499869016</v>
      </c>
      <c r="D27" s="7">
        <f>C27-_xlfn.FORECAST.ETS.CONFINT(A27,$B$2:$B$19,$A$2:$A$19,0.95,3,1)</f>
        <v>34.374993848724976</v>
      </c>
      <c r="E27" s="7">
        <f>C27+_xlfn.FORECAST.ETS.CONFINT(A27,$B$2:$B$19,$A$2:$A$19,0.95,3,1)</f>
        <v>45.925035151013056</v>
      </c>
    </row>
    <row r="28" spans="1:5" x14ac:dyDescent="0.35">
      <c r="A28">
        <v>2046</v>
      </c>
      <c r="C28" s="7">
        <f>_xlfn.FORECAST.ETS(A28,$B$2:$B$19,$A$2:$A$19,3,1)</f>
        <v>40.409678303094019</v>
      </c>
      <c r="D28" s="7">
        <f>C28-_xlfn.FORECAST.ETS.CONFINT(A28,$B$2:$B$19,$A$2:$A$19,0.95,3,1)</f>
        <v>34.310609892701109</v>
      </c>
      <c r="E28" s="7">
        <f>C28+_xlfn.FORECAST.ETS.CONFINT(A28,$B$2:$B$19,$A$2:$A$19,0.95,3,1)</f>
        <v>46.508746713486929</v>
      </c>
    </row>
    <row r="29" spans="1:5" x14ac:dyDescent="0.35">
      <c r="A29">
        <v>2047</v>
      </c>
      <c r="C29" s="7">
        <f>_xlfn.FORECAST.ETS(A29,$B$2:$B$19,$A$2:$A$19,3,1)</f>
        <v>42.278853529046863</v>
      </c>
      <c r="D29" s="7">
        <f>C29-_xlfn.FORECAST.ETS.CONFINT(A29,$B$2:$B$19,$A$2:$A$19,0.95,3,1)</f>
        <v>35.870522056806301</v>
      </c>
      <c r="E29" s="7">
        <f>C29+_xlfn.FORECAST.ETS.CONFINT(A29,$B$2:$B$19,$A$2:$A$19,0.95,3,1)</f>
        <v>48.687185001287425</v>
      </c>
    </row>
    <row r="30" spans="1:5" x14ac:dyDescent="0.35">
      <c r="A30">
        <v>2048</v>
      </c>
      <c r="C30" s="7">
        <f>_xlfn.FORECAST.ETS(A30,$B$2:$B$19,$A$2:$A$19,3,1)</f>
        <v>43.55531033804202</v>
      </c>
      <c r="D30" s="7">
        <f>C30-_xlfn.FORECAST.ETS.CONFINT(A30,$B$2:$B$19,$A$2:$A$19,0.95,3,1)</f>
        <v>36.851968705575047</v>
      </c>
      <c r="E30" s="7">
        <f>C30+_xlfn.FORECAST.ETS.CONFINT(A30,$B$2:$B$19,$A$2:$A$19,0.95,3,1)</f>
        <v>50.258651970508993</v>
      </c>
    </row>
    <row r="31" spans="1:5" x14ac:dyDescent="0.35">
      <c r="A31">
        <v>2049</v>
      </c>
      <c r="C31" s="7">
        <f>_xlfn.FORECAST.ETS(A31,$B$2:$B$19,$A$2:$A$19,3,1)</f>
        <v>43.814974141267022</v>
      </c>
      <c r="D31" s="7">
        <f>C31-_xlfn.FORECAST.ETS.CONFINT(A31,$B$2:$B$19,$A$2:$A$19,0.95,3,1)</f>
        <v>36.828341312954521</v>
      </c>
      <c r="E31" s="7">
        <f>C31+_xlfn.FORECAST.ETS.CONFINT(A31,$B$2:$B$19,$A$2:$A$19,0.95,3,1)</f>
        <v>50.801606969579524</v>
      </c>
    </row>
    <row r="32" spans="1:5" x14ac:dyDescent="0.35">
      <c r="A32">
        <v>2050</v>
      </c>
      <c r="C32" s="7">
        <f>_xlfn.FORECAST.ETS(A32,$B$2:$B$19,$A$2:$A$19,3,1)</f>
        <v>45.684149367219867</v>
      </c>
      <c r="D32" s="7">
        <f>C32-_xlfn.FORECAST.ETS.CONFINT(A32,$B$2:$B$19,$A$2:$A$19,0.95,3,1)</f>
        <v>38.423868897821258</v>
      </c>
      <c r="E32" s="7">
        <f>C32+_xlfn.FORECAST.ETS.CONFINT(A32,$B$2:$B$19,$A$2:$A$19,0.95,3,1)</f>
        <v>52.944429836618475</v>
      </c>
    </row>
    <row r="33" spans="1:5" x14ac:dyDescent="0.35">
      <c r="A33">
        <v>2051</v>
      </c>
      <c r="C33" s="7">
        <f>_xlfn.FORECAST.ETS(A33,$B$2:$B$19,$A$2:$A$19,3,1)</f>
        <v>46.960606176215016</v>
      </c>
      <c r="D33" s="7">
        <f>C33-_xlfn.FORECAST.ETS.CONFINT(A33,$B$2:$B$19,$A$2:$A$19,0.95,3,1)</f>
        <v>39.436624071570698</v>
      </c>
      <c r="E33" s="7">
        <f>C33+_xlfn.FORECAST.ETS.CONFINT(A33,$B$2:$B$19,$A$2:$A$19,0.95,3,1)</f>
        <v>54.484588280859334</v>
      </c>
    </row>
    <row r="34" spans="1:5" x14ac:dyDescent="0.35">
      <c r="A34">
        <v>2052</v>
      </c>
      <c r="C34" s="7">
        <f>_xlfn.FORECAST.ETS(A34,$B$2:$B$19,$A$2:$A$19,3,1)</f>
        <v>47.220269979440019</v>
      </c>
      <c r="D34" s="7">
        <f>C34-_xlfn.FORECAST.ETS.CONFINT(A34,$B$2:$B$19,$A$2:$A$19,0.95,3,1)</f>
        <v>39.44086425305963</v>
      </c>
      <c r="E34" s="7">
        <f>C34+_xlfn.FORECAST.ETS.CONFINT(A34,$B$2:$B$19,$A$2:$A$19,0.95,3,1)</f>
        <v>54.999675705820408</v>
      </c>
    </row>
    <row r="35" spans="1:5" x14ac:dyDescent="0.35">
      <c r="A35">
        <v>2053</v>
      </c>
      <c r="C35" s="7">
        <f>_xlfn.FORECAST.ETS(A35,$B$2:$B$19,$A$2:$A$19,3,1)</f>
        <v>49.089445205392863</v>
      </c>
      <c r="D35" s="7">
        <f>C35-_xlfn.FORECAST.ETS.CONFINT(A35,$B$2:$B$19,$A$2:$A$19,0.95,3,1)</f>
        <v>41.06146505273275</v>
      </c>
      <c r="E35" s="7">
        <f>C35+_xlfn.FORECAST.ETS.CONFINT(A35,$B$2:$B$19,$A$2:$A$19,0.95,3,1)</f>
        <v>57.117425358052976</v>
      </c>
    </row>
    <row r="36" spans="1:5" x14ac:dyDescent="0.35">
      <c r="A36">
        <v>2054</v>
      </c>
      <c r="C36" s="7">
        <f>_xlfn.FORECAST.ETS(A36,$B$2:$B$19,$A$2:$A$19,3,1)</f>
        <v>50.36590201438802</v>
      </c>
      <c r="D36" s="7">
        <f>C36-_xlfn.FORECAST.ETS.CONFINT(A36,$B$2:$B$19,$A$2:$A$19,0.95,3,1)</f>
        <v>42.096816381298389</v>
      </c>
      <c r="E36" s="7">
        <f>C36+_xlfn.FORECAST.ETS.CONFINT(A36,$B$2:$B$19,$A$2:$A$19,0.95,3,1)</f>
        <v>58.634987647477651</v>
      </c>
    </row>
    <row r="37" spans="1:5" x14ac:dyDescent="0.35">
      <c r="A37">
        <v>2055</v>
      </c>
      <c r="C37" s="7">
        <f>_xlfn.FORECAST.ETS(A37,$B$2:$B$19,$A$2:$A$19,3,1)</f>
        <v>50.625565817613023</v>
      </c>
      <c r="D37" s="7">
        <f>C37-_xlfn.FORECAST.ETS.CONFINT(A37,$B$2:$B$19,$A$2:$A$19,0.95,3,1)</f>
        <v>42.121605464547436</v>
      </c>
      <c r="E37" s="7">
        <f>C37+_xlfn.FORECAST.ETS.CONFINT(A37,$B$2:$B$19,$A$2:$A$19,0.95,3,1)</f>
        <v>59.129526170678609</v>
      </c>
    </row>
    <row r="38" spans="1:5" x14ac:dyDescent="0.35">
      <c r="A38">
        <v>2056</v>
      </c>
      <c r="C38" s="7">
        <f>_xlfn.FORECAST.ETS(A38,$B$2:$B$19,$A$2:$A$19,3,1)</f>
        <v>52.49474104356586</v>
      </c>
      <c r="D38" s="7">
        <f>C38-_xlfn.FORECAST.ETS.CONFINT(A38,$B$2:$B$19,$A$2:$A$19,0.95,3,1)</f>
        <v>43.761044721416205</v>
      </c>
      <c r="E38" s="7">
        <f>C38+_xlfn.FORECAST.ETS.CONFINT(A38,$B$2:$B$19,$A$2:$A$19,0.95,3,1)</f>
        <v>61.228437365715514</v>
      </c>
    </row>
    <row r="39" spans="1:5" x14ac:dyDescent="0.35">
      <c r="A39">
        <v>2057</v>
      </c>
      <c r="C39" s="7">
        <f>_xlfn.FORECAST.ETS(A39,$B$2:$B$19,$A$2:$A$19,3,1)</f>
        <v>53.771197852561016</v>
      </c>
      <c r="D39" s="7">
        <f>C39-_xlfn.FORECAST.ETS.CONFINT(A39,$B$2:$B$19,$A$2:$A$19,0.95,3,1)</f>
        <v>44.81365571151867</v>
      </c>
      <c r="E39" s="7">
        <f>C39+_xlfn.FORECAST.ETS.CONFINT(A39,$B$2:$B$19,$A$2:$A$19,0.95,3,1)</f>
        <v>62.728739993603362</v>
      </c>
    </row>
    <row r="40" spans="1:5" x14ac:dyDescent="0.35">
      <c r="A40">
        <v>2058</v>
      </c>
      <c r="C40" s="7">
        <f>_xlfn.FORECAST.ETS(A40,$B$2:$B$19,$A$2:$A$19,3,1)</f>
        <v>54.030861655786019</v>
      </c>
      <c r="D40" s="7">
        <f>C40-_xlfn.FORECAST.ETS.CONFINT(A40,$B$2:$B$19,$A$2:$A$19,0.95,3,1)</f>
        <v>44.854371932140694</v>
      </c>
      <c r="E40" s="7">
        <f>C40+_xlfn.FORECAST.ETS.CONFINT(A40,$B$2:$B$19,$A$2:$A$19,0.95,3,1)</f>
        <v>63.207351379431344</v>
      </c>
    </row>
    <row r="41" spans="1:5" x14ac:dyDescent="0.35">
      <c r="A41">
        <v>2059</v>
      </c>
      <c r="C41" s="7">
        <f>_xlfn.FORECAST.ETS(A41,$B$2:$B$19,$A$2:$A$19,3,1)</f>
        <v>55.900036881738863</v>
      </c>
      <c r="D41" s="7">
        <f>C41-_xlfn.FORECAST.ETS.CONFINT(A41,$B$2:$B$19,$A$2:$A$19,0.95,3,1)</f>
        <v>46.508605067563323</v>
      </c>
      <c r="E41" s="7">
        <f>C41+_xlfn.FORECAST.ETS.CONFINT(A41,$B$2:$B$19,$A$2:$A$19,0.95,3,1)</f>
        <v>65.291468695914403</v>
      </c>
    </row>
    <row r="42" spans="1:5" x14ac:dyDescent="0.35">
      <c r="A42">
        <v>2060</v>
      </c>
      <c r="C42" s="7">
        <f>_xlfn.FORECAST.ETS(A42,$B$2:$B$19,$A$2:$A$19,3,1)</f>
        <v>57.17649369073402</v>
      </c>
      <c r="D42" s="7">
        <f>C42-_xlfn.FORECAST.ETS.CONFINT(A42,$B$2:$B$19,$A$2:$A$19,0.95,3,1)</f>
        <v>47.574930308010934</v>
      </c>
      <c r="E42" s="7">
        <f>C42+_xlfn.FORECAST.ETS.CONFINT(A42,$B$2:$B$19,$A$2:$A$19,0.95,3,1)</f>
        <v>66.778057073457106</v>
      </c>
    </row>
    <row r="43" spans="1:5" x14ac:dyDescent="0.35">
      <c r="A43">
        <v>2061</v>
      </c>
      <c r="C43" s="7">
        <f>_xlfn.FORECAST.ETS(A43,$B$2:$B$19,$A$2:$A$19,3,1)</f>
        <v>57.436157493959023</v>
      </c>
      <c r="D43" s="7">
        <f>C43-_xlfn.FORECAST.ETS.CONFINT(A43,$B$2:$B$19,$A$2:$A$19,0.95,3,1)</f>
        <v>47.628437064699689</v>
      </c>
      <c r="E43" s="7">
        <f>C43+_xlfn.FORECAST.ETS.CONFINT(A43,$B$2:$B$19,$A$2:$A$19,0.95,3,1)</f>
        <v>67.243877923218363</v>
      </c>
    </row>
    <row r="44" spans="1:5" x14ac:dyDescent="0.35">
      <c r="A44">
        <v>2062</v>
      </c>
      <c r="C44" s="7">
        <f>_xlfn.FORECAST.ETS(A44,$B$2:$B$19,$A$2:$A$19,3,1)</f>
        <v>59.305332719911867</v>
      </c>
      <c r="D44" s="7">
        <f>C44-_xlfn.FORECAST.ETS.CONFINT(A44,$B$2:$B$19,$A$2:$A$19,0.95,3,1)</f>
        <v>49.294666097366736</v>
      </c>
      <c r="E44" s="7">
        <f>C44+_xlfn.FORECAST.ETS.CONFINT(A44,$B$2:$B$19,$A$2:$A$19,0.95,3,1)</f>
        <v>69.315999342457005</v>
      </c>
    </row>
    <row r="45" spans="1:5" x14ac:dyDescent="0.35">
      <c r="A45">
        <v>2063</v>
      </c>
      <c r="C45" s="7">
        <f>_xlfn.FORECAST.ETS(A45,$B$2:$B$19,$A$2:$A$19,3,1)</f>
        <v>60.581789528907024</v>
      </c>
      <c r="D45" s="7">
        <f>C45-_xlfn.FORECAST.ETS.CONFINT(A45,$B$2:$B$19,$A$2:$A$19,0.95,3,1)</f>
        <v>50.372210084240002</v>
      </c>
      <c r="E45" s="7">
        <f>C45+_xlfn.FORECAST.ETS.CONFINT(A45,$B$2:$B$19,$A$2:$A$19,0.95,3,1)</f>
        <v>70.791368973574052</v>
      </c>
    </row>
    <row r="46" spans="1:5" x14ac:dyDescent="0.35">
      <c r="A46">
        <v>2064</v>
      </c>
      <c r="C46" s="7">
        <f>_xlfn.FORECAST.ETS(A46,$B$2:$B$19,$A$2:$A$19,3,1)</f>
        <v>60.841453332132026</v>
      </c>
      <c r="D46" s="7">
        <f>C46-_xlfn.FORECAST.ETS.CONFINT(A46,$B$2:$B$19,$A$2:$A$19,0.95,3,1)</f>
        <v>50.436264651697641</v>
      </c>
      <c r="E46" s="7">
        <f>C46+_xlfn.FORECAST.ETS.CONFINT(A46,$B$2:$B$19,$A$2:$A$19,0.95,3,1)</f>
        <v>71.246642012566411</v>
      </c>
    </row>
    <row r="47" spans="1:5" x14ac:dyDescent="0.35">
      <c r="A47">
        <v>2065</v>
      </c>
      <c r="C47" s="7">
        <f>_xlfn.FORECAST.ETS(A47,$B$2:$B$19,$A$2:$A$19,3,1)</f>
        <v>62.710628558084871</v>
      </c>
      <c r="D47" s="7">
        <f>C47-_xlfn.FORECAST.ETS.CONFINT(A47,$B$2:$B$19,$A$2:$A$19,0.95,3,1)</f>
        <v>52.112460025374951</v>
      </c>
      <c r="E47" s="7">
        <f>C47+_xlfn.FORECAST.ETS.CONFINT(A47,$B$2:$B$19,$A$2:$A$19,0.95,3,1)</f>
        <v>73.308797090794798</v>
      </c>
    </row>
    <row r="48" spans="1:5" x14ac:dyDescent="0.35">
      <c r="A48">
        <v>2066</v>
      </c>
      <c r="C48" s="7">
        <f>_xlfn.FORECAST.ETS(A48,$B$2:$B$19,$A$2:$A$19,3,1)</f>
        <v>63.98708536708002</v>
      </c>
      <c r="D48" s="7">
        <f>C48-_xlfn.FORECAST.ETS.CONFINT(A48,$B$2:$B$19,$A$2:$A$19,0.95,3,1)</f>
        <v>53.199388624030291</v>
      </c>
      <c r="E48" s="7">
        <f>C48+_xlfn.FORECAST.ETS.CONFINT(A48,$B$2:$B$19,$A$2:$A$19,0.95,3,1)</f>
        <v>74.774782110129749</v>
      </c>
    </row>
    <row r="49" spans="1:5" x14ac:dyDescent="0.35">
      <c r="A49">
        <v>2067</v>
      </c>
      <c r="C49" s="7">
        <f>_xlfn.FORECAST.ETS(A49,$B$2:$B$19,$A$2:$A$19,3,1)</f>
        <v>64.246749170305023</v>
      </c>
      <c r="D49" s="7">
        <f>C49-_xlfn.FORECAST.ETS.CONFINT(A49,$B$2:$B$19,$A$2:$A$19,0.95,3,1)</f>
        <v>53.2723225931733</v>
      </c>
      <c r="E49" s="7">
        <f>C49+_xlfn.FORECAST.ETS.CONFINT(A49,$B$2:$B$19,$A$2:$A$19,0.95,3,1)</f>
        <v>75.221175747436746</v>
      </c>
    </row>
    <row r="50" spans="1:5" x14ac:dyDescent="0.35">
      <c r="A50">
        <v>2068</v>
      </c>
      <c r="C50" s="7">
        <f>_xlfn.FORECAST.ETS(A50,$B$2:$B$19,$A$2:$A$19,3,1)</f>
        <v>66.115924396257867</v>
      </c>
      <c r="D50" s="7">
        <f>C50-_xlfn.FORECAST.ETS.CONFINT(A50,$B$2:$B$19,$A$2:$A$19,0.95,3,1)</f>
        <v>54.956957497025677</v>
      </c>
      <c r="E50" s="7">
        <f>C50+_xlfn.FORECAST.ETS.CONFINT(A50,$B$2:$B$19,$A$2:$A$19,0.95,3,1)</f>
        <v>77.27489129549005</v>
      </c>
    </row>
    <row r="51" spans="1:5" x14ac:dyDescent="0.35">
      <c r="A51">
        <v>2069</v>
      </c>
      <c r="C51" s="7">
        <f>_xlfn.FORECAST.ETS(A51,$B$2:$B$19,$A$2:$A$19,3,1)</f>
        <v>67.392381205253031</v>
      </c>
      <c r="D51" s="7">
        <f>C51-_xlfn.FORECAST.ETS.CONFINT(A51,$B$2:$B$19,$A$2:$A$19,0.95,3,1)</f>
        <v>56.051876550720934</v>
      </c>
      <c r="E51" s="7">
        <f>C51+_xlfn.FORECAST.ETS.CONFINT(A51,$B$2:$B$19,$A$2:$A$19,0.95,3,1)</f>
        <v>78.732885859785128</v>
      </c>
    </row>
    <row r="52" spans="1:5" x14ac:dyDescent="0.35">
      <c r="A52">
        <v>2070</v>
      </c>
      <c r="C52" s="7">
        <f>_xlfn.FORECAST.ETS(A52,$B$2:$B$19,$A$2:$A$19,3,1)</f>
        <v>67.652045008478026</v>
      </c>
      <c r="D52" s="7">
        <f>C52-_xlfn.FORECAST.ETS.CONFINT(A52,$B$2:$B$19,$A$2:$A$19,0.95,3,1)</f>
        <v>56.13240949511836</v>
      </c>
      <c r="E52" s="7">
        <f>C52+_xlfn.FORECAST.ETS.CONFINT(A52,$B$2:$B$19,$A$2:$A$19,0.95,3,1)</f>
        <v>79.1716805218377</v>
      </c>
    </row>
    <row r="53" spans="1:5" x14ac:dyDescent="0.35">
      <c r="A53">
        <v>2071</v>
      </c>
      <c r="C53" s="7">
        <f>_xlfn.FORECAST.ETS(A53,$B$2:$B$19,$A$2:$A$19,3,1)</f>
        <v>69.521220234430871</v>
      </c>
      <c r="D53" s="7">
        <f>C53-_xlfn.FORECAST.ETS.CONFINT(A53,$B$2:$B$19,$A$2:$A$19,0.95,3,1)</f>
        <v>57.824301625799365</v>
      </c>
      <c r="E53" s="7">
        <f>C53+_xlfn.FORECAST.ETS.CONFINT(A53,$B$2:$B$19,$A$2:$A$19,0.95,3,1)</f>
        <v>81.218138843062377</v>
      </c>
    </row>
    <row r="54" spans="1:5" x14ac:dyDescent="0.35">
      <c r="A54">
        <v>2072</v>
      </c>
      <c r="C54" s="7">
        <f>_xlfn.FORECAST.ETS(A54,$B$2:$B$19,$A$2:$A$19,3,1)</f>
        <v>70.797677043426035</v>
      </c>
      <c r="D54" s="7">
        <f>C54-_xlfn.FORECAST.ETS.CONFINT(A54,$B$2:$B$19,$A$2:$A$19,0.95,3,1)</f>
        <v>58.926122490072764</v>
      </c>
      <c r="E54" s="7">
        <f>C54+_xlfn.FORECAST.ETS.CONFINT(A54,$B$2:$B$19,$A$2:$A$19,0.95,3,1)</f>
        <v>82.669231596779298</v>
      </c>
    </row>
    <row r="55" spans="1:5" x14ac:dyDescent="0.35">
      <c r="A55">
        <v>2073</v>
      </c>
      <c r="C55" s="7">
        <f>_xlfn.FORECAST.ETS(A55,$B$2:$B$19,$A$2:$A$19,3,1)</f>
        <v>71.05734084665103</v>
      </c>
      <c r="D55" s="7">
        <f>C55-_xlfn.FORECAST.ETS.CONFINT(A55,$B$2:$B$19,$A$2:$A$19,0.95,3,1)</f>
        <v>59.0132467277583</v>
      </c>
      <c r="E55" s="7">
        <f>C55+_xlfn.FORECAST.ETS.CONFINT(A55,$B$2:$B$19,$A$2:$A$19,0.95,3,1)</f>
        <v>83.10143496554376</v>
      </c>
    </row>
    <row r="56" spans="1:5" x14ac:dyDescent="0.35">
      <c r="A56">
        <v>2074</v>
      </c>
      <c r="C56" s="7">
        <f>_xlfn.FORECAST.ETS(A56,$B$2:$B$19,$A$2:$A$19,3,1)</f>
        <v>72.92651607260386</v>
      </c>
      <c r="D56" s="7">
        <f>C56-_xlfn.FORECAST.ETS.CONFINT(A56,$B$2:$B$19,$A$2:$A$19,0.95,3,1)</f>
        <v>60.711458767703718</v>
      </c>
      <c r="E56" s="7">
        <f>C56+_xlfn.FORECAST.ETS.CONFINT(A56,$B$2:$B$19,$A$2:$A$19,0.95,3,1)</f>
        <v>85.141573377504002</v>
      </c>
    </row>
    <row r="57" spans="1:5" x14ac:dyDescent="0.35">
      <c r="A57">
        <v>2075</v>
      </c>
      <c r="C57" s="7">
        <f>_xlfn.FORECAST.ETS(A57,$B$2:$B$19,$A$2:$A$19,3,1)</f>
        <v>74.202972881599024</v>
      </c>
      <c r="D57" s="7">
        <f>C57-_xlfn.FORECAST.ETS.CONFINT(A57,$B$2:$B$19,$A$2:$A$19,0.95,3,1)</f>
        <v>61.819312405825229</v>
      </c>
      <c r="E57" s="7">
        <f>C57+_xlfn.FORECAST.ETS.CONFINT(A57,$B$2:$B$19,$A$2:$A$19,0.95,3,1)</f>
        <v>86.586633357372818</v>
      </c>
    </row>
    <row r="58" spans="1:5" x14ac:dyDescent="0.35">
      <c r="A58">
        <v>2076</v>
      </c>
      <c r="C58" s="7">
        <f>_xlfn.FORECAST.ETS(A58,$B$2:$B$19,$A$2:$A$19,3,1)</f>
        <v>74.46263668482402</v>
      </c>
      <c r="D58" s="7">
        <f>C58-_xlfn.FORECAST.ETS.CONFINT(A58,$B$2:$B$19,$A$2:$A$19,0.95,3,1)</f>
        <v>61.912218296299152</v>
      </c>
      <c r="E58" s="7">
        <f>C58+_xlfn.FORECAST.ETS.CONFINT(A58,$B$2:$B$19,$A$2:$A$19,0.95,3,1)</f>
        <v>87.01305507334888</v>
      </c>
    </row>
    <row r="59" spans="1:5" x14ac:dyDescent="0.35">
      <c r="A59">
        <v>2077</v>
      </c>
      <c r="C59" s="7">
        <f>_xlfn.FORECAST.ETS(A59,$B$2:$B$19,$A$2:$A$19,3,1)</f>
        <v>76.331811910776864</v>
      </c>
      <c r="D59" s="7">
        <f>C59-_xlfn.FORECAST.ETS.CONFINT(A59,$B$2:$B$19,$A$2:$A$19,0.95,3,1)</f>
        <v>63.615992510864302</v>
      </c>
      <c r="E59" s="7">
        <f>C59+_xlfn.FORECAST.ETS.CONFINT(A59,$B$2:$B$19,$A$2:$A$19,0.95,3,1)</f>
        <v>89.047631310689425</v>
      </c>
    </row>
    <row r="60" spans="1:5" x14ac:dyDescent="0.35">
      <c r="A60">
        <v>2078</v>
      </c>
      <c r="C60" s="7">
        <f>_xlfn.FORECAST.ETS(A60,$B$2:$B$19,$A$2:$A$19,3,1)</f>
        <v>77.608268719772028</v>
      </c>
      <c r="D60" s="7">
        <f>C60-_xlfn.FORECAST.ETS.CONFINT(A60,$B$2:$B$19,$A$2:$A$19,0.95,3,1)</f>
        <v>64.729172311430233</v>
      </c>
      <c r="E60" s="7">
        <f>C60+_xlfn.FORECAST.ETS.CONFINT(A60,$B$2:$B$19,$A$2:$A$19,0.95,3,1)</f>
        <v>90.487365128113822</v>
      </c>
    </row>
    <row r="61" spans="1:5" x14ac:dyDescent="0.35">
      <c r="A61">
        <v>2079</v>
      </c>
      <c r="C61" s="7">
        <f>_xlfn.FORECAST.ETS(A61,$B$2:$B$19,$A$2:$A$19,3,1)</f>
        <v>77.867932522997023</v>
      </c>
      <c r="D61" s="7">
        <f>C61-_xlfn.FORECAST.ETS.CONFINT(A61,$B$2:$B$19,$A$2:$A$19,0.95,3,1)</f>
        <v>64.827197927684253</v>
      </c>
      <c r="E61" s="7">
        <f>C61+_xlfn.FORECAST.ETS.CONFINT(A61,$B$2:$B$19,$A$2:$A$19,0.95,3,1)</f>
        <v>90.908667118309793</v>
      </c>
    </row>
    <row r="62" spans="1:5" x14ac:dyDescent="0.35">
      <c r="A62">
        <v>2080</v>
      </c>
      <c r="C62" s="7">
        <f>_xlfn.FORECAST.ETS(A62,$B$2:$B$19,$A$2:$A$19,3,1)</f>
        <v>79.737107748949867</v>
      </c>
      <c r="D62" s="7">
        <f>C62-_xlfn.FORECAST.ETS.CONFINT(A62,$B$2:$B$19,$A$2:$A$19,0.95,3,1)</f>
        <v>66.535911600022843</v>
      </c>
      <c r="E62" s="7">
        <f>C62+_xlfn.FORECAST.ETS.CONFINT(A62,$B$2:$B$19,$A$2:$A$19,0.95,3,1)</f>
        <v>92.938303897876892</v>
      </c>
    </row>
    <row r="63" spans="1:5" x14ac:dyDescent="0.35">
      <c r="A63">
        <v>2081</v>
      </c>
      <c r="C63" s="7">
        <f>_xlfn.FORECAST.ETS(A63,$B$2:$B$19,$A$2:$A$19,3,1)</f>
        <v>81.013564557945017</v>
      </c>
      <c r="D63" s="7">
        <f>C63-_xlfn.FORECAST.ETS.CONFINT(A63,$B$2:$B$19,$A$2:$A$19,0.95,3,1)</f>
        <v>67.653833994063731</v>
      </c>
      <c r="E63" s="7">
        <f>C63+_xlfn.FORECAST.ETS.CONFINT(A63,$B$2:$B$19,$A$2:$A$19,0.95,3,1)</f>
        <v>94.373295121826303</v>
      </c>
    </row>
    <row r="64" spans="1:5" x14ac:dyDescent="0.35">
      <c r="A64">
        <v>2082</v>
      </c>
      <c r="C64" s="7">
        <f>_xlfn.FORECAST.ETS(A64,$B$2:$B$19,$A$2:$A$19,3,1)</f>
        <v>81.273228361170013</v>
      </c>
      <c r="D64" s="7">
        <f>C64-_xlfn.FORECAST.ETS.CONFINT(A64,$B$2:$B$19,$A$2:$A$19,0.95,3,1)</f>
        <v>67.756430108708756</v>
      </c>
      <c r="E64" s="7">
        <f>C64+_xlfn.FORECAST.ETS.CONFINT(A64,$B$2:$B$19,$A$2:$A$19,0.95,3,1)</f>
        <v>94.790026613631269</v>
      </c>
    </row>
    <row r="65" spans="1:5" x14ac:dyDescent="0.35">
      <c r="A65">
        <v>2083</v>
      </c>
      <c r="C65" s="7">
        <f>_xlfn.FORECAST.ETS(A65,$B$2:$B$19,$A$2:$A$19,3,1)</f>
        <v>83.142403587122857</v>
      </c>
      <c r="D65" s="7">
        <f>C65-_xlfn.FORECAST.ETS.CONFINT(A65,$B$2:$B$19,$A$2:$A$19,0.95,3,1)</f>
        <v>69.469564237022482</v>
      </c>
      <c r="E65" s="7">
        <f>C65+_xlfn.FORECAST.ETS.CONFINT(A65,$B$2:$B$19,$A$2:$A$19,0.95,3,1)</f>
        <v>96.815242937223232</v>
      </c>
    </row>
    <row r="66" spans="1:5" x14ac:dyDescent="0.35">
      <c r="A66">
        <v>2084</v>
      </c>
      <c r="C66" s="7">
        <f>_xlfn.FORECAST.ETS(A66,$B$2:$B$19,$A$2:$A$19,3,1)</f>
        <v>84.418860396118021</v>
      </c>
      <c r="D66" s="7">
        <f>C66-_xlfn.FORECAST.ETS.CONFINT(A66,$B$2:$B$19,$A$2:$A$19,0.95,3,1)</f>
        <v>70.591740783213567</v>
      </c>
      <c r="E66" s="7">
        <f>C66+_xlfn.FORECAST.ETS.CONFINT(A66,$B$2:$B$19,$A$2:$A$19,0.95,3,1)</f>
        <v>98.245980009022475</v>
      </c>
    </row>
    <row r="67" spans="1:5" x14ac:dyDescent="0.35">
      <c r="A67">
        <v>2085</v>
      </c>
      <c r="C67" s="7">
        <f>_xlfn.FORECAST.ETS(A67,$B$2:$B$19,$A$2:$A$19,3,1)</f>
        <v>84.678524199343016</v>
      </c>
      <c r="D67" s="7">
        <f>C67-_xlfn.FORECAST.ETS.CONFINT(A67,$B$2:$B$19,$A$2:$A$19,0.95,3,1)</f>
        <v>70.698445836115553</v>
      </c>
      <c r="E67" s="7">
        <f>C67+_xlfn.FORECAST.ETS.CONFINT(A67,$B$2:$B$19,$A$2:$A$19,0.95,3,1)</f>
        <v>98.658602562570479</v>
      </c>
    </row>
    <row r="68" spans="1:5" x14ac:dyDescent="0.35">
      <c r="A68">
        <v>2086</v>
      </c>
      <c r="C68" s="7">
        <f>_xlfn.FORECAST.ETS(A68,$B$2:$B$19,$A$2:$A$19,3,1)</f>
        <v>86.54769942529586</v>
      </c>
      <c r="D68" s="7">
        <f>C68-_xlfn.FORECAST.ETS.CONFINT(A68,$B$2:$B$19,$A$2:$A$19,0.95,3,1)</f>
        <v>72.415562570498707</v>
      </c>
      <c r="E68" s="7">
        <f>C68+_xlfn.FORECAST.ETS.CONFINT(A68,$B$2:$B$19,$A$2:$A$19,0.95,3,1)</f>
        <v>100.67983628009301</v>
      </c>
    </row>
    <row r="69" spans="1:5" x14ac:dyDescent="0.35">
      <c r="A69">
        <v>2087</v>
      </c>
      <c r="C69" s="7">
        <f>_xlfn.FORECAST.ETS(A69,$B$2:$B$19,$A$2:$A$19,3,1)</f>
        <v>87.824156234291024</v>
      </c>
      <c r="D69" s="7">
        <f>C69-_xlfn.FORECAST.ETS.CONFINT(A69,$B$2:$B$19,$A$2:$A$19,0.95,3,1)</f>
        <v>73.541579676699882</v>
      </c>
      <c r="E69" s="7">
        <f>C69+_xlfn.FORECAST.ETS.CONFINT(A69,$B$2:$B$19,$A$2:$A$19,0.95,3,1)</f>
        <v>102.10673279188217</v>
      </c>
    </row>
    <row r="70" spans="1:5" x14ac:dyDescent="0.35">
      <c r="A70">
        <v>2088</v>
      </c>
      <c r="C70" s="7">
        <f>_xlfn.FORECAST.ETS(A70,$B$2:$B$19,$A$2:$A$19,3,1)</f>
        <v>88.08382003751602</v>
      </c>
      <c r="D70" s="7">
        <f>C70-_xlfn.FORECAST.ETS.CONFINT(A70,$B$2:$B$19,$A$2:$A$19,0.95,3,1)</f>
        <v>73.652001455091636</v>
      </c>
      <c r="E70" s="7">
        <f>C70+_xlfn.FORECAST.ETS.CONFINT(A70,$B$2:$B$19,$A$2:$A$19,0.95,3,1)</f>
        <v>102.5156386199404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BDEA-804E-4F77-9C6B-2C4A2C57FA8D}">
  <dimension ref="A1:J79"/>
  <sheetViews>
    <sheetView tabSelected="1" topLeftCell="A22" zoomScaleNormal="100" workbookViewId="0">
      <selection activeCell="Q18" sqref="Q18"/>
    </sheetView>
  </sheetViews>
  <sheetFormatPr baseColWidth="10" defaultRowHeight="14.5" x14ac:dyDescent="0.35"/>
  <cols>
    <col min="1" max="1" width="12.90625" customWidth="1"/>
    <col min="4" max="4" width="27.81640625" customWidth="1"/>
    <col min="5" max="5" width="28.6328125" customWidth="1"/>
    <col min="6" max="6" width="13.36328125" bestFit="1" customWidth="1"/>
    <col min="7" max="7" width="24.453125" bestFit="1" customWidth="1"/>
    <col min="8" max="8" width="8.1796875" bestFit="1" customWidth="1"/>
    <col min="9" max="9" width="25.26953125" bestFit="1" customWidth="1"/>
    <col min="10" max="10" width="13.1796875" bestFit="1" customWidth="1"/>
  </cols>
  <sheetData>
    <row r="1" spans="1:10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10" x14ac:dyDescent="0.35">
      <c r="A2">
        <v>2011</v>
      </c>
      <c r="B2">
        <v>19.91</v>
      </c>
    </row>
    <row r="3" spans="1:10" x14ac:dyDescent="0.35">
      <c r="A3">
        <v>2012</v>
      </c>
      <c r="B3">
        <v>19.899999999999999</v>
      </c>
    </row>
    <row r="4" spans="1:10" x14ac:dyDescent="0.35">
      <c r="A4">
        <v>2013</v>
      </c>
      <c r="B4">
        <v>19.71</v>
      </c>
    </row>
    <row r="5" spans="1:10" x14ac:dyDescent="0.35">
      <c r="A5">
        <v>2014</v>
      </c>
      <c r="B5">
        <v>19.96</v>
      </c>
    </row>
    <row r="6" spans="1:10" x14ac:dyDescent="0.35">
      <c r="A6">
        <v>2015</v>
      </c>
      <c r="B6">
        <v>20.58</v>
      </c>
    </row>
    <row r="7" spans="1:10" x14ac:dyDescent="0.35">
      <c r="A7">
        <v>2016</v>
      </c>
      <c r="B7">
        <v>20.64</v>
      </c>
    </row>
    <row r="8" spans="1:10" x14ac:dyDescent="0.35">
      <c r="A8">
        <v>2017</v>
      </c>
      <c r="B8">
        <v>20.16</v>
      </c>
    </row>
    <row r="9" spans="1:10" x14ac:dyDescent="0.35">
      <c r="A9">
        <v>2018</v>
      </c>
      <c r="B9">
        <v>21.01</v>
      </c>
    </row>
    <row r="10" spans="1:10" x14ac:dyDescent="0.35">
      <c r="A10">
        <v>2019</v>
      </c>
      <c r="B10">
        <v>20.54</v>
      </c>
    </row>
    <row r="11" spans="1:10" x14ac:dyDescent="0.35">
      <c r="A11">
        <v>2020</v>
      </c>
      <c r="B11">
        <v>20.71</v>
      </c>
    </row>
    <row r="12" spans="1:10" x14ac:dyDescent="0.35">
      <c r="A12">
        <v>2021</v>
      </c>
      <c r="B12">
        <v>20.47</v>
      </c>
    </row>
    <row r="13" spans="1:10" x14ac:dyDescent="0.35">
      <c r="A13">
        <v>2022</v>
      </c>
      <c r="B13">
        <v>21.16</v>
      </c>
    </row>
    <row r="14" spans="1:10" x14ac:dyDescent="0.35">
      <c r="A14">
        <v>2023</v>
      </c>
      <c r="B14">
        <v>27.2</v>
      </c>
    </row>
    <row r="15" spans="1:10" x14ac:dyDescent="0.35">
      <c r="A15">
        <v>2024</v>
      </c>
      <c r="B15">
        <v>32.08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</row>
    <row r="16" spans="1:10" x14ac:dyDescent="0.35">
      <c r="A16">
        <v>2025</v>
      </c>
      <c r="B16">
        <v>29</v>
      </c>
      <c r="F16">
        <f>B16/B16</f>
        <v>1</v>
      </c>
      <c r="G16">
        <f>B16/B16</f>
        <v>1</v>
      </c>
      <c r="H16">
        <f>B16/B16</f>
        <v>1</v>
      </c>
      <c r="I16">
        <f>B16/B16</f>
        <v>1</v>
      </c>
      <c r="J16">
        <f>B16/B16</f>
        <v>1</v>
      </c>
    </row>
    <row r="17" spans="1:10" x14ac:dyDescent="0.35">
      <c r="A17">
        <v>2026</v>
      </c>
      <c r="B17">
        <v>27.7</v>
      </c>
      <c r="F17">
        <f>$B$17/$B$16</f>
        <v>0.95517241379310347</v>
      </c>
      <c r="G17">
        <f>B17/$B$16</f>
        <v>0.95517241379310347</v>
      </c>
      <c r="H17">
        <f>B17/$B$16</f>
        <v>0.95517241379310347</v>
      </c>
      <c r="I17">
        <f>B17/$B$16</f>
        <v>0.95517241379310347</v>
      </c>
      <c r="J17">
        <f>B17/$B$16</f>
        <v>0.95517241379310347</v>
      </c>
    </row>
    <row r="18" spans="1:10" x14ac:dyDescent="0.35">
      <c r="A18">
        <v>2027</v>
      </c>
      <c r="B18">
        <v>28.130391534391038</v>
      </c>
      <c r="F18">
        <f t="shared" ref="F18:G26" si="0">B18/$B$16</f>
        <v>0.9700135011858978</v>
      </c>
      <c r="G18">
        <f t="shared" ref="G18:G26" si="1">B18/$B$16</f>
        <v>0.9700135011858978</v>
      </c>
      <c r="H18">
        <f t="shared" ref="H18:H26" si="2">B18/$B$16</f>
        <v>0.9700135011858978</v>
      </c>
      <c r="I18">
        <f t="shared" ref="I18:I26" si="3">B18/$B$16</f>
        <v>0.9700135011858978</v>
      </c>
      <c r="J18">
        <f t="shared" ref="J18:J26" si="4">B18/$B$16</f>
        <v>0.9700135011858978</v>
      </c>
    </row>
    <row r="19" spans="1:10" x14ac:dyDescent="0.35">
      <c r="A19">
        <v>2028</v>
      </c>
      <c r="B19">
        <v>28.410931216930749</v>
      </c>
      <c r="F19">
        <f t="shared" si="0"/>
        <v>0.9796872833424396</v>
      </c>
      <c r="G19">
        <f t="shared" si="1"/>
        <v>0.9796872833424396</v>
      </c>
      <c r="H19">
        <f t="shared" si="2"/>
        <v>0.9796872833424396</v>
      </c>
      <c r="I19">
        <f t="shared" si="3"/>
        <v>0.9796872833424396</v>
      </c>
      <c r="J19">
        <f t="shared" si="4"/>
        <v>0.9796872833424396</v>
      </c>
    </row>
    <row r="20" spans="1:10" x14ac:dyDescent="0.35">
      <c r="A20">
        <v>2029</v>
      </c>
      <c r="B20">
        <v>29.69147089947046</v>
      </c>
      <c r="F20">
        <f t="shared" si="0"/>
        <v>1.023843824119671</v>
      </c>
      <c r="G20">
        <f t="shared" si="1"/>
        <v>1.023843824119671</v>
      </c>
      <c r="H20">
        <f t="shared" si="2"/>
        <v>1.023843824119671</v>
      </c>
      <c r="I20">
        <f t="shared" si="3"/>
        <v>1.023843824119671</v>
      </c>
      <c r="J20">
        <f t="shared" si="4"/>
        <v>1.023843824119671</v>
      </c>
    </row>
    <row r="21" spans="1:10" x14ac:dyDescent="0.35">
      <c r="A21">
        <v>2030</v>
      </c>
      <c r="B21">
        <v>31.091470899470458</v>
      </c>
      <c r="F21">
        <f t="shared" si="0"/>
        <v>1.0721196861886364</v>
      </c>
      <c r="G21">
        <f t="shared" si="1"/>
        <v>1.0721196861886364</v>
      </c>
      <c r="H21">
        <f t="shared" si="2"/>
        <v>1.0721196861886364</v>
      </c>
      <c r="I21">
        <f t="shared" si="3"/>
        <v>1.0721196861886364</v>
      </c>
      <c r="J21">
        <f t="shared" si="4"/>
        <v>1.0721196861886364</v>
      </c>
    </row>
    <row r="22" spans="1:10" x14ac:dyDescent="0.35">
      <c r="A22">
        <v>2031</v>
      </c>
      <c r="B22">
        <v>32.291470899470454</v>
      </c>
      <c r="F22">
        <f t="shared" si="0"/>
        <v>1.1134989965334638</v>
      </c>
      <c r="G22">
        <f t="shared" si="1"/>
        <v>1.1134989965334638</v>
      </c>
      <c r="H22">
        <f t="shared" si="2"/>
        <v>1.1134989965334638</v>
      </c>
      <c r="I22">
        <f t="shared" si="3"/>
        <v>1.1134989965334638</v>
      </c>
      <c r="J22">
        <f t="shared" si="4"/>
        <v>1.1134989965334638</v>
      </c>
    </row>
    <row r="23" spans="1:10" x14ac:dyDescent="0.35">
      <c r="A23">
        <v>2032</v>
      </c>
      <c r="B23">
        <v>33.391470899470463</v>
      </c>
      <c r="F23">
        <f t="shared" si="0"/>
        <v>1.1514300310162229</v>
      </c>
      <c r="G23">
        <f t="shared" si="1"/>
        <v>1.1514300310162229</v>
      </c>
      <c r="H23">
        <f t="shared" si="2"/>
        <v>1.1514300310162229</v>
      </c>
      <c r="I23">
        <f t="shared" si="3"/>
        <v>1.1514300310162229</v>
      </c>
      <c r="J23">
        <f t="shared" si="4"/>
        <v>1.1514300310162229</v>
      </c>
    </row>
    <row r="24" spans="1:10" x14ac:dyDescent="0.35">
      <c r="A24">
        <v>2033</v>
      </c>
      <c r="B24">
        <v>34.291470899470454</v>
      </c>
      <c r="F24">
        <f t="shared" si="0"/>
        <v>1.1824645137748433</v>
      </c>
      <c r="G24">
        <f t="shared" si="1"/>
        <v>1.1824645137748433</v>
      </c>
      <c r="H24">
        <f t="shared" si="2"/>
        <v>1.1824645137748433</v>
      </c>
      <c r="I24">
        <f t="shared" si="3"/>
        <v>1.1824645137748433</v>
      </c>
      <c r="J24">
        <f t="shared" si="4"/>
        <v>1.1824645137748433</v>
      </c>
    </row>
    <row r="25" spans="1:10" x14ac:dyDescent="0.35">
      <c r="A25">
        <v>2034</v>
      </c>
      <c r="B25">
        <v>35.091470899470458</v>
      </c>
      <c r="F25">
        <f t="shared" si="0"/>
        <v>1.2100507206713951</v>
      </c>
      <c r="G25">
        <f t="shared" si="1"/>
        <v>1.2100507206713951</v>
      </c>
      <c r="H25">
        <f t="shared" si="2"/>
        <v>1.2100507206713951</v>
      </c>
      <c r="I25">
        <f t="shared" si="3"/>
        <v>1.2100507206713951</v>
      </c>
      <c r="J25">
        <f t="shared" si="4"/>
        <v>1.2100507206713951</v>
      </c>
    </row>
    <row r="26" spans="1:10" x14ac:dyDescent="0.35">
      <c r="A26">
        <v>2035</v>
      </c>
      <c r="B26">
        <v>35.561470899470457</v>
      </c>
      <c r="F26">
        <f t="shared" si="0"/>
        <v>1.2262576172231192</v>
      </c>
      <c r="G26">
        <f t="shared" si="1"/>
        <v>1.2262576172231192</v>
      </c>
      <c r="H26">
        <f t="shared" si="2"/>
        <v>1.2262576172231192</v>
      </c>
      <c r="I26">
        <f t="shared" si="3"/>
        <v>1.2262576172231192</v>
      </c>
      <c r="J26">
        <f t="shared" si="4"/>
        <v>1.2262576172231192</v>
      </c>
    </row>
    <row r="27" spans="1:10" x14ac:dyDescent="0.35">
      <c r="A27">
        <v>2036</v>
      </c>
      <c r="B27">
        <v>35.911470899470459</v>
      </c>
      <c r="C27">
        <v>35.911470899470459</v>
      </c>
      <c r="D27" s="1">
        <v>35.911470899470459</v>
      </c>
      <c r="E27" s="1">
        <v>35.911470899470459</v>
      </c>
      <c r="F27">
        <f>Tableau13[[#This Row],[Limite de confiance inférieure]]/$B$16</f>
        <v>1.2383265827403607</v>
      </c>
      <c r="G27">
        <f>AVERAGE(F27,H27)</f>
        <v>1.2383265827403607</v>
      </c>
      <c r="H27">
        <f>Tableau13[[#This Row],[Prévision]]/$B$16</f>
        <v>1.2383265827403607</v>
      </c>
      <c r="I27">
        <f>AVERAGE(H27,J27)</f>
        <v>1.2383265827403607</v>
      </c>
      <c r="J27">
        <f>Tableau13[[#This Row],[Limite de confiance supérieure]]/$B$16</f>
        <v>1.2383265827403607</v>
      </c>
    </row>
    <row r="28" spans="1:10" x14ac:dyDescent="0.35">
      <c r="A28">
        <v>2037</v>
      </c>
      <c r="B28">
        <v>36.098613756613318</v>
      </c>
      <c r="C28">
        <f>_xlfn.FORECAST.ETS(A28,$B$2:$B$27,$A$2:$A$27,10,1)</f>
        <v>36.012618103749638</v>
      </c>
      <c r="D28" s="1">
        <f>C28-_xlfn.FORECAST.ETS.CONFINT(A28,$B$2:$B$27,$A$2:$A$27,0.95,10,1)</f>
        <v>30.961424343105453</v>
      </c>
      <c r="E28" s="1">
        <f>C28+_xlfn.FORECAST.ETS.CONFINT(A28,$B$2:$B$27,$A$2:$A$27,0.95,10,1)</f>
        <v>41.063811864393827</v>
      </c>
      <c r="F28">
        <f>Tableau13[[#This Row],[Limite de confiance inférieure]]/$B$16</f>
        <v>1.0676353221760502</v>
      </c>
      <c r="G28">
        <f t="shared" ref="G28:G79" si="5">AVERAGE(F28,H28)</f>
        <v>1.1547248697733636</v>
      </c>
      <c r="H28">
        <f>Tableau13[[#This Row],[Prévision]]/$B$16</f>
        <v>1.2418144173706771</v>
      </c>
      <c r="I28">
        <f t="shared" ref="I28:I79" si="6">AVERAGE(H28,J28)</f>
        <v>1.3289039649679908</v>
      </c>
      <c r="J28">
        <f>Tableau13[[#This Row],[Limite de confiance supérieure]]/$B$16</f>
        <v>1.4159935125653045</v>
      </c>
    </row>
    <row r="29" spans="1:10" x14ac:dyDescent="0.35">
      <c r="A29">
        <v>2038</v>
      </c>
      <c r="B29">
        <v>37.110399470899033</v>
      </c>
      <c r="C29">
        <f>_xlfn.FORECAST.ETS(A29,$B$2:$B$27,$A$2:$A$27,10,1)</f>
        <v>36.49712498876103</v>
      </c>
      <c r="D29" s="1">
        <f>C29-_xlfn.FORECAST.ETS.CONFINT(A29,$B$2:$B$27,$A$2:$A$27,0.95,10,1)</f>
        <v>30.847457911629014</v>
      </c>
      <c r="E29" s="1">
        <f>C29+_xlfn.FORECAST.ETS.CONFINT(A29,$B$2:$B$27,$A$2:$A$27,0.95,10,1)</f>
        <v>42.146792065893045</v>
      </c>
      <c r="F29">
        <f>Tableau13[[#This Row],[Limite de confiance inférieure]]/$B$16</f>
        <v>1.0637054452285868</v>
      </c>
      <c r="G29">
        <f t="shared" si="5"/>
        <v>1.161113498282587</v>
      </c>
      <c r="H29">
        <f>Tableau13[[#This Row],[Prévision]]/$B$16</f>
        <v>1.2585215513365873</v>
      </c>
      <c r="I29">
        <f t="shared" si="6"/>
        <v>1.3559296043905875</v>
      </c>
      <c r="J29">
        <f>Tableau13[[#This Row],[Limite de confiance supérieure]]/$B$16</f>
        <v>1.4533376574445878</v>
      </c>
    </row>
    <row r="30" spans="1:10" x14ac:dyDescent="0.35">
      <c r="A30">
        <v>2039</v>
      </c>
      <c r="C30">
        <f>_xlfn.FORECAST.ETS(A30,$B$2:$B$27,$A$2:$A$27,10,1)</f>
        <v>37.197456911348496</v>
      </c>
      <c r="D30" s="1">
        <f>C30-_xlfn.FORECAST.ETS.CONFINT(A30,$B$2:$B$27,$A$2:$A$27,0.95,10,1)</f>
        <v>31.004839624661802</v>
      </c>
      <c r="E30" s="1">
        <f>C30+_xlfn.FORECAST.ETS.CONFINT(A30,$B$2:$B$27,$A$2:$A$27,0.95,10,1)</f>
        <v>43.390074198035194</v>
      </c>
      <c r="F30">
        <f>Tableau13[[#This Row],[Limite de confiance inférieure]]/$B$16</f>
        <v>1.0691324008504071</v>
      </c>
      <c r="G30">
        <f t="shared" si="5"/>
        <v>1.1759016644139706</v>
      </c>
      <c r="H30">
        <f>Tableau13[[#This Row],[Prévision]]/$B$16</f>
        <v>1.2826709279775343</v>
      </c>
      <c r="I30">
        <f t="shared" si="6"/>
        <v>1.3894401915410981</v>
      </c>
      <c r="J30">
        <f>Tableau13[[#This Row],[Limite de confiance supérieure]]/$B$16</f>
        <v>1.4962094551046619</v>
      </c>
    </row>
    <row r="31" spans="1:10" x14ac:dyDescent="0.35">
      <c r="A31">
        <v>2040</v>
      </c>
      <c r="C31">
        <f>_xlfn.FORECAST.ETS(A31,$B$2:$B$27,$A$2:$A$27,10,1)</f>
        <v>37.672744636894549</v>
      </c>
      <c r="D31" s="1">
        <f>C31-_xlfn.FORECAST.ETS.CONFINT(A31,$B$2:$B$27,$A$2:$A$27,0.95,10,1)</f>
        <v>30.979171467987531</v>
      </c>
      <c r="E31" s="1">
        <f>C31+_xlfn.FORECAST.ETS.CONFINT(A31,$B$2:$B$27,$A$2:$A$27,0.95,10,1)</f>
        <v>44.366317805801572</v>
      </c>
      <c r="F31">
        <f>Tableau13[[#This Row],[Limite de confiance inférieure]]/$B$16</f>
        <v>1.06824729199957</v>
      </c>
      <c r="G31">
        <f t="shared" si="5"/>
        <v>1.1836537259462427</v>
      </c>
      <c r="H31">
        <f>Tableau13[[#This Row],[Prévision]]/$B$16</f>
        <v>1.2990601598929155</v>
      </c>
      <c r="I31">
        <f t="shared" si="6"/>
        <v>1.4144665938395882</v>
      </c>
      <c r="J31">
        <f>Tableau13[[#This Row],[Limite de confiance supérieure]]/$B$16</f>
        <v>1.5298730277862611</v>
      </c>
    </row>
    <row r="32" spans="1:10" x14ac:dyDescent="0.35">
      <c r="A32">
        <v>2041</v>
      </c>
      <c r="C32">
        <f>_xlfn.FORECAST.ETS(A32,$B$2:$B$27,$A$2:$A$27,10,1)</f>
        <v>37.676372090840978</v>
      </c>
      <c r="D32" s="1">
        <f>C32-_xlfn.FORECAST.ETS.CONFINT(A32,$B$2:$B$27,$A$2:$A$27,0.95,10,1)</f>
        <v>30.515015526895187</v>
      </c>
      <c r="E32" s="1">
        <f>C32+_xlfn.FORECAST.ETS.CONFINT(A32,$B$2:$B$27,$A$2:$A$27,0.95,10,1)</f>
        <v>44.837728654786766</v>
      </c>
      <c r="F32">
        <f>Tableau13[[#This Row],[Limite de confiance inférieure]]/$B$16</f>
        <v>1.0522419147205238</v>
      </c>
      <c r="G32">
        <f t="shared" si="5"/>
        <v>1.1757135796161409</v>
      </c>
      <c r="H32">
        <f>Tableau13[[#This Row],[Prévision]]/$B$16</f>
        <v>1.2991852445117578</v>
      </c>
      <c r="I32">
        <f t="shared" si="6"/>
        <v>1.4226569094073749</v>
      </c>
      <c r="J32">
        <f>Tableau13[[#This Row],[Limite de confiance supérieure]]/$B$16</f>
        <v>1.546128574302992</v>
      </c>
    </row>
    <row r="33" spans="1:10" x14ac:dyDescent="0.35">
      <c r="A33">
        <v>2042</v>
      </c>
      <c r="C33">
        <f>_xlfn.FORECAST.ETS(A33,$B$2:$B$27,$A$2:$A$27,10,1)</f>
        <v>37.87378903799636</v>
      </c>
      <c r="D33" s="1">
        <f>C33-_xlfn.FORECAST.ETS.CONFINT(A33,$B$2:$B$27,$A$2:$A$27,0.95,10,1)</f>
        <v>30.271692084269699</v>
      </c>
      <c r="E33" s="1">
        <f>C33+_xlfn.FORECAST.ETS.CONFINT(A33,$B$2:$B$27,$A$2:$A$27,0.95,10,1)</f>
        <v>45.475885991723018</v>
      </c>
      <c r="F33">
        <f>Tableau13[[#This Row],[Limite de confiance inférieure]]/$B$16</f>
        <v>1.0438514511817139</v>
      </c>
      <c r="G33">
        <f t="shared" si="5"/>
        <v>1.1749220883149321</v>
      </c>
      <c r="H33">
        <f>Tableau13[[#This Row],[Prévision]]/$B$16</f>
        <v>1.3059927254481503</v>
      </c>
      <c r="I33">
        <f t="shared" si="6"/>
        <v>1.4370633625813687</v>
      </c>
      <c r="J33">
        <f>Tableau13[[#This Row],[Limite de confiance supérieure]]/$B$16</f>
        <v>1.5681339997145869</v>
      </c>
    </row>
    <row r="34" spans="1:10" x14ac:dyDescent="0.35">
      <c r="A34">
        <v>2043</v>
      </c>
      <c r="C34">
        <f>_xlfn.FORECAST.ETS(A34,$B$2:$B$27,$A$2:$A$27,10,1)</f>
        <v>40.105245237966777</v>
      </c>
      <c r="D34" s="1">
        <f>C34-_xlfn.FORECAST.ETS.CONFINT(A34,$B$2:$B$27,$A$2:$A$27,0.95,10,1)</f>
        <v>32.08498816164429</v>
      </c>
      <c r="E34" s="1">
        <f>C34+_xlfn.FORECAST.ETS.CONFINT(A34,$B$2:$B$27,$A$2:$A$27,0.95,10,1)</f>
        <v>48.125502314289264</v>
      </c>
      <c r="F34">
        <f>Tableau13[[#This Row],[Limite de confiance inférieure]]/$B$16</f>
        <v>1.1063789021256651</v>
      </c>
      <c r="G34">
        <f t="shared" si="5"/>
        <v>1.2446591965450184</v>
      </c>
      <c r="H34">
        <f>Tableau13[[#This Row],[Prévision]]/$B$16</f>
        <v>1.3829394909643715</v>
      </c>
      <c r="I34">
        <f t="shared" si="6"/>
        <v>1.5212197853837248</v>
      </c>
      <c r="J34">
        <f>Tableau13[[#This Row],[Limite de confiance supérieure]]/$B$16</f>
        <v>1.6595000798030781</v>
      </c>
    </row>
    <row r="35" spans="1:10" x14ac:dyDescent="0.35">
      <c r="A35">
        <v>2044</v>
      </c>
      <c r="C35">
        <f>_xlfn.FORECAST.ETS(A35,$B$2:$B$27,$A$2:$A$27,10,1)</f>
        <v>43.043788879259282</v>
      </c>
      <c r="D35" s="1">
        <f>C35-_xlfn.FORECAST.ETS.CONFINT(A35,$B$2:$B$27,$A$2:$A$27,0.95,10,1)</f>
        <v>34.624583733023172</v>
      </c>
      <c r="E35" s="1">
        <f>C35+_xlfn.FORECAST.ETS.CONFINT(A35,$B$2:$B$27,$A$2:$A$27,0.95,10,1)</f>
        <v>51.462994025495391</v>
      </c>
      <c r="F35">
        <f>Tableau13[[#This Row],[Limite de confiance inférieure]]/$B$16</f>
        <v>1.1939511632076956</v>
      </c>
      <c r="G35">
        <f t="shared" si="5"/>
        <v>1.3391098726255595</v>
      </c>
      <c r="H35">
        <f>Tableau13[[#This Row],[Prévision]]/$B$16</f>
        <v>1.4842685820434236</v>
      </c>
      <c r="I35">
        <f t="shared" si="6"/>
        <v>1.6294272914612875</v>
      </c>
      <c r="J35">
        <f>Tableau13[[#This Row],[Limite de confiance supérieure]]/$B$16</f>
        <v>1.7745860008791514</v>
      </c>
    </row>
    <row r="36" spans="1:10" x14ac:dyDescent="0.35">
      <c r="A36">
        <v>2045</v>
      </c>
      <c r="C36">
        <f>_xlfn.FORECAST.ETS(A36,$B$2:$B$27,$A$2:$A$27,10,1)</f>
        <v>43.408997724402226</v>
      </c>
      <c r="D36" s="1">
        <f>C36-_xlfn.FORECAST.ETS.CONFINT(A36,$B$2:$B$27,$A$2:$A$27,0.95,10,1)</f>
        <v>34.607440799897333</v>
      </c>
      <c r="E36" s="1">
        <f>C36+_xlfn.FORECAST.ETS.CONFINT(A36,$B$2:$B$27,$A$2:$A$27,0.95,10,1)</f>
        <v>52.21055464890712</v>
      </c>
      <c r="F36">
        <f>Tableau13[[#This Row],[Limite de confiance inférieure]]/$B$16</f>
        <v>1.1933600275826666</v>
      </c>
      <c r="G36">
        <f t="shared" si="5"/>
        <v>1.3451110090396474</v>
      </c>
      <c r="H36">
        <f>Tableau13[[#This Row],[Prévision]]/$B$16</f>
        <v>1.4968619904966285</v>
      </c>
      <c r="I36">
        <f t="shared" si="6"/>
        <v>1.6486129719536096</v>
      </c>
      <c r="J36">
        <f>Tableau13[[#This Row],[Limite de confiance supérieure]]/$B$16</f>
        <v>1.8003639534105904</v>
      </c>
    </row>
    <row r="37" spans="1:10" x14ac:dyDescent="0.35">
      <c r="A37">
        <v>2046</v>
      </c>
      <c r="C37">
        <f>_xlfn.FORECAST.ETS(A37,$B$2:$B$27,$A$2:$A$27,10,1)</f>
        <v>43.404886409200493</v>
      </c>
      <c r="D37" s="1">
        <f>C37-_xlfn.FORECAST.ETS.CONFINT(A37,$B$2:$B$27,$A$2:$A$27,0.95,10,1)</f>
        <v>34.235494848028523</v>
      </c>
      <c r="E37" s="1">
        <f>C37+_xlfn.FORECAST.ETS.CONFINT(A37,$B$2:$B$27,$A$2:$A$27,0.95,10,1)</f>
        <v>52.574277970372464</v>
      </c>
      <c r="F37">
        <f>Tableau13[[#This Row],[Limite de confiance inférieure]]/$B$16</f>
        <v>1.1805343051044319</v>
      </c>
      <c r="G37">
        <f t="shared" si="5"/>
        <v>1.3386272630556726</v>
      </c>
      <c r="H37">
        <f>Tableau13[[#This Row],[Prévision]]/$B$16</f>
        <v>1.4967202210069135</v>
      </c>
      <c r="I37">
        <f t="shared" si="6"/>
        <v>1.6548131789581544</v>
      </c>
      <c r="J37">
        <f>Tableau13[[#This Row],[Limite de confiance supérieure]]/$B$16</f>
        <v>1.8129061369093953</v>
      </c>
    </row>
    <row r="38" spans="1:10" x14ac:dyDescent="0.35">
      <c r="A38">
        <v>2047</v>
      </c>
      <c r="C38">
        <f>_xlfn.FORECAST.ETS(A38,$B$2:$B$27,$A$2:$A$27,10,1)</f>
        <v>43.506742240986817</v>
      </c>
      <c r="D38" s="1">
        <f>C38-_xlfn.FORECAST.ETS.CONFINT(A38,$B$2:$B$27,$A$2:$A$27,0.95,10,1)</f>
        <v>33.01609742094692</v>
      </c>
      <c r="E38" s="1">
        <f>C38+_xlfn.FORECAST.ETS.CONFINT(A38,$B$2:$B$27,$A$2:$A$27,0.95,10,1)</f>
        <v>53.997387061026714</v>
      </c>
      <c r="F38">
        <f>Tableau13[[#This Row],[Limite de confiance inférieure]]/$B$16</f>
        <v>1.1384861179636869</v>
      </c>
      <c r="G38">
        <f t="shared" si="5"/>
        <v>1.319359304516099</v>
      </c>
      <c r="H38">
        <f>Tableau13[[#This Row],[Prévision]]/$B$16</f>
        <v>1.500232491068511</v>
      </c>
      <c r="I38">
        <f t="shared" si="6"/>
        <v>1.681105677620923</v>
      </c>
      <c r="J38">
        <f>Tableau13[[#This Row],[Limite de confiance supérieure]]/$B$16</f>
        <v>1.861978864173335</v>
      </c>
    </row>
    <row r="39" spans="1:10" x14ac:dyDescent="0.35">
      <c r="A39">
        <v>2048</v>
      </c>
      <c r="C39">
        <f>_xlfn.FORECAST.ETS(A39,$B$2:$B$27,$A$2:$A$27,10,1)</f>
        <v>43.991249125998209</v>
      </c>
      <c r="D39" s="1">
        <f>C39-_xlfn.FORECAST.ETS.CONFINT(A39,$B$2:$B$27,$A$2:$A$27,0.95,10,1)</f>
        <v>33.187730451687827</v>
      </c>
      <c r="E39" s="1">
        <f>C39+_xlfn.FORECAST.ETS.CONFINT(A39,$B$2:$B$27,$A$2:$A$27,0.95,10,1)</f>
        <v>54.794767800308591</v>
      </c>
      <c r="F39">
        <f>Tableau13[[#This Row],[Limite de confiance inférieure]]/$B$16</f>
        <v>1.1444044983340631</v>
      </c>
      <c r="G39">
        <f t="shared" si="5"/>
        <v>1.330672061684242</v>
      </c>
      <c r="H39">
        <f>Tableau13[[#This Row],[Prévision]]/$B$16</f>
        <v>1.5169396250344209</v>
      </c>
      <c r="I39">
        <f t="shared" si="6"/>
        <v>1.7032071883845998</v>
      </c>
      <c r="J39">
        <f>Tableau13[[#This Row],[Limite de confiance supérieure]]/$B$16</f>
        <v>1.889474751734779</v>
      </c>
    </row>
    <row r="40" spans="1:10" x14ac:dyDescent="0.35">
      <c r="A40">
        <v>2049</v>
      </c>
      <c r="C40">
        <f>_xlfn.FORECAST.ETS(A40,$B$2:$B$27,$A$2:$A$27,10,1)</f>
        <v>44.691581048585675</v>
      </c>
      <c r="D40" s="1">
        <f>C40-_xlfn.FORECAST.ETS.CONFINT(A40,$B$2:$B$27,$A$2:$A$27,0.95,10,1)</f>
        <v>33.582823055661024</v>
      </c>
      <c r="E40" s="1">
        <f>C40+_xlfn.FORECAST.ETS.CONFINT(A40,$B$2:$B$27,$A$2:$A$27,0.95,10,1)</f>
        <v>55.800339041510327</v>
      </c>
      <c r="F40">
        <f>Tableau13[[#This Row],[Limite de confiance inférieure]]/$B$16</f>
        <v>1.1580283812296905</v>
      </c>
      <c r="G40">
        <f t="shared" si="5"/>
        <v>1.3495586914525295</v>
      </c>
      <c r="H40">
        <f>Tableau13[[#This Row],[Prévision]]/$B$16</f>
        <v>1.5410890016753682</v>
      </c>
      <c r="I40">
        <f t="shared" si="6"/>
        <v>1.7326193118982069</v>
      </c>
      <c r="J40">
        <f>Tableau13[[#This Row],[Limite de confiance supérieure]]/$B$16</f>
        <v>1.9241496221210457</v>
      </c>
    </row>
    <row r="41" spans="1:10" x14ac:dyDescent="0.35">
      <c r="A41">
        <v>2050</v>
      </c>
      <c r="C41">
        <f>_xlfn.FORECAST.ETS(A41,$B$2:$B$27,$A$2:$A$27,10,1)</f>
        <v>45.166868774131729</v>
      </c>
      <c r="D41" s="1">
        <f>C41-_xlfn.FORECAST.ETS.CONFINT(A41,$B$2:$B$27,$A$2:$A$27,0.95,10,1)</f>
        <v>33.759890867300783</v>
      </c>
      <c r="E41" s="1">
        <f>C41+_xlfn.FORECAST.ETS.CONFINT(A41,$B$2:$B$27,$A$2:$A$27,0.95,10,1)</f>
        <v>56.573846680962674</v>
      </c>
      <c r="F41">
        <f>Tableau13[[#This Row],[Limite de confiance inférieure]]/$B$16</f>
        <v>1.164134167837958</v>
      </c>
      <c r="G41">
        <f t="shared" si="5"/>
        <v>1.3608062007143538</v>
      </c>
      <c r="H41">
        <f>Tableau13[[#This Row],[Prévision]]/$B$16</f>
        <v>1.5574782335907493</v>
      </c>
      <c r="I41">
        <f t="shared" si="6"/>
        <v>1.7541502664671449</v>
      </c>
      <c r="J41">
        <f>Tableau13[[#This Row],[Limite de confiance supérieure]]/$B$16</f>
        <v>1.9508222993435405</v>
      </c>
    </row>
    <row r="42" spans="1:10" x14ac:dyDescent="0.35">
      <c r="A42">
        <v>2051</v>
      </c>
      <c r="C42">
        <f>_xlfn.FORECAST.ETS(A42,$B$2:$B$27,$A$2:$A$27,10,1)</f>
        <v>45.170496228078157</v>
      </c>
      <c r="D42" s="1">
        <f>C42-_xlfn.FORECAST.ETS.CONFINT(A42,$B$2:$B$27,$A$2:$A$27,0.95,10,1)</f>
        <v>33.47177880949009</v>
      </c>
      <c r="E42" s="1">
        <f>C42+_xlfn.FORECAST.ETS.CONFINT(A42,$B$2:$B$27,$A$2:$A$27,0.95,10,1)</f>
        <v>56.869213646666225</v>
      </c>
      <c r="F42">
        <f>Tableau13[[#This Row],[Limite de confiance inférieure]]/$B$16</f>
        <v>1.1541992692927616</v>
      </c>
      <c r="G42">
        <f t="shared" si="5"/>
        <v>1.3559012937511765</v>
      </c>
      <c r="H42">
        <f>Tableau13[[#This Row],[Prévision]]/$B$16</f>
        <v>1.5576033182095916</v>
      </c>
      <c r="I42">
        <f t="shared" si="6"/>
        <v>1.7593053426680068</v>
      </c>
      <c r="J42">
        <f>Tableau13[[#This Row],[Limite de confiance supérieure]]/$B$16</f>
        <v>1.9610073671264217</v>
      </c>
    </row>
    <row r="43" spans="1:10" x14ac:dyDescent="0.35">
      <c r="A43">
        <v>2052</v>
      </c>
      <c r="C43">
        <f>_xlfn.FORECAST.ETS(A43,$B$2:$B$27,$A$2:$A$27,10,1)</f>
        <v>45.367913175233539</v>
      </c>
      <c r="D43" s="1">
        <f>C43-_xlfn.FORECAST.ETS.CONFINT(A43,$B$2:$B$27,$A$2:$A$27,0.95,10,1)</f>
        <v>33.383461248106293</v>
      </c>
      <c r="E43" s="1">
        <f>C43+_xlfn.FORECAST.ETS.CONFINT(A43,$B$2:$B$27,$A$2:$A$27,0.95,10,1)</f>
        <v>57.352365102360785</v>
      </c>
      <c r="F43">
        <f>Tableau13[[#This Row],[Limite de confiance inférieure]]/$B$16</f>
        <v>1.1511538361415963</v>
      </c>
      <c r="G43">
        <f t="shared" si="5"/>
        <v>1.3577823176437902</v>
      </c>
      <c r="H43">
        <f>Tableau13[[#This Row],[Prévision]]/$B$16</f>
        <v>1.5644107991459841</v>
      </c>
      <c r="I43">
        <f t="shared" si="6"/>
        <v>1.7710392806481781</v>
      </c>
      <c r="J43">
        <f>Tableau13[[#This Row],[Limite de confiance supérieure]]/$B$16</f>
        <v>1.977667762150372</v>
      </c>
    </row>
    <row r="44" spans="1:10" x14ac:dyDescent="0.35">
      <c r="A44">
        <v>2053</v>
      </c>
      <c r="C44">
        <f>_xlfn.FORECAST.ETS(A44,$B$2:$B$27,$A$2:$A$27,10,1)</f>
        <v>47.599369375203956</v>
      </c>
      <c r="D44" s="1">
        <f>C44-_xlfn.FORECAST.ETS.CONFINT(A44,$B$2:$B$27,$A$2:$A$27,0.95,10,1)</f>
        <v>35.334766150599009</v>
      </c>
      <c r="E44" s="1">
        <f>C44+_xlfn.FORECAST.ETS.CONFINT(A44,$B$2:$B$27,$A$2:$A$27,0.95,10,1)</f>
        <v>59.863972599808903</v>
      </c>
      <c r="F44">
        <f>Tableau13[[#This Row],[Limite de confiance inférieure]]/$B$16</f>
        <v>1.2184402120896209</v>
      </c>
      <c r="G44">
        <f t="shared" si="5"/>
        <v>1.4298988883759132</v>
      </c>
      <c r="H44">
        <f>Tableau13[[#This Row],[Prévision]]/$B$16</f>
        <v>1.6413575646622054</v>
      </c>
      <c r="I44">
        <f t="shared" si="6"/>
        <v>1.8528162409484974</v>
      </c>
      <c r="J44">
        <f>Tableau13[[#This Row],[Limite de confiance supérieure]]/$B$16</f>
        <v>2.0642749172347896</v>
      </c>
    </row>
    <row r="45" spans="1:10" x14ac:dyDescent="0.35">
      <c r="A45">
        <v>2054</v>
      </c>
      <c r="C45">
        <f>_xlfn.FORECAST.ETS(A45,$B$2:$B$27,$A$2:$A$27,10,1)</f>
        <v>50.537913016496461</v>
      </c>
      <c r="D45" s="1">
        <f>C45-_xlfn.FORECAST.ETS.CONFINT(A45,$B$2:$B$27,$A$2:$A$27,0.95,10,1)</f>
        <v>37.998365454515159</v>
      </c>
      <c r="E45" s="1">
        <f>C45+_xlfn.FORECAST.ETS.CONFINT(A45,$B$2:$B$27,$A$2:$A$27,0.95,10,1)</f>
        <v>63.077460578477762</v>
      </c>
      <c r="F45">
        <f>Tableau13[[#This Row],[Limite de confiance inférieure]]/$B$16</f>
        <v>1.3102884639487986</v>
      </c>
      <c r="G45">
        <f t="shared" si="5"/>
        <v>1.526487559845028</v>
      </c>
      <c r="H45">
        <f>Tableau13[[#This Row],[Prévision]]/$B$16</f>
        <v>1.7426866557412573</v>
      </c>
      <c r="I45">
        <f t="shared" si="6"/>
        <v>1.9588857516374867</v>
      </c>
      <c r="J45">
        <f>Tableau13[[#This Row],[Limite de confiance supérieure]]/$B$16</f>
        <v>2.1750848475337161</v>
      </c>
    </row>
    <row r="46" spans="1:10" x14ac:dyDescent="0.35">
      <c r="A46">
        <v>2055</v>
      </c>
      <c r="C46">
        <f>_xlfn.FORECAST.ETS(A46,$B$2:$B$27,$A$2:$A$27,10,1)</f>
        <v>50.903121861639406</v>
      </c>
      <c r="D46" s="1">
        <f>C46-_xlfn.FORECAST.ETS.CONFINT(A46,$B$2:$B$27,$A$2:$A$27,0.95,10,1)</f>
        <v>38.093499641240228</v>
      </c>
      <c r="E46" s="1">
        <f>C46+_xlfn.FORECAST.ETS.CONFINT(A46,$B$2:$B$27,$A$2:$A$27,0.95,10,1)</f>
        <v>63.712744082038583</v>
      </c>
      <c r="F46">
        <f>Tableau13[[#This Row],[Limite de confiance inférieure]]/$B$16</f>
        <v>1.3135689531462147</v>
      </c>
      <c r="G46">
        <f t="shared" si="5"/>
        <v>1.5344245086703385</v>
      </c>
      <c r="H46">
        <f>Tableau13[[#This Row],[Prévision]]/$B$16</f>
        <v>1.7552800641944624</v>
      </c>
      <c r="I46">
        <f t="shared" si="6"/>
        <v>1.976135619718586</v>
      </c>
      <c r="J46">
        <f>Tableau13[[#This Row],[Limite de confiance supérieure]]/$B$16</f>
        <v>2.1969911752427098</v>
      </c>
    </row>
    <row r="47" spans="1:10" x14ac:dyDescent="0.35">
      <c r="A47">
        <v>2056</v>
      </c>
      <c r="C47">
        <f>_xlfn.FORECAST.ETS(A47,$B$2:$B$27,$A$2:$A$27,10,1)</f>
        <v>50.899010546437673</v>
      </c>
      <c r="D47" s="1">
        <f>C47-_xlfn.FORECAST.ETS.CONFINT(A47,$B$2:$B$27,$A$2:$A$27,0.95,10,1)</f>
        <v>37.823879633266444</v>
      </c>
      <c r="E47" s="1">
        <f>C47+_xlfn.FORECAST.ETS.CONFINT(A47,$B$2:$B$27,$A$2:$A$27,0.95,10,1)</f>
        <v>63.974141459608902</v>
      </c>
      <c r="F47">
        <f>Tableau13[[#This Row],[Limite de confiance inférieure]]/$B$16</f>
        <v>1.3042717114919464</v>
      </c>
      <c r="G47">
        <f t="shared" si="5"/>
        <v>1.5297050030983468</v>
      </c>
      <c r="H47">
        <f>Tableau13[[#This Row],[Prévision]]/$B$16</f>
        <v>1.7551382947047474</v>
      </c>
      <c r="I47">
        <f t="shared" si="6"/>
        <v>1.9805715863111479</v>
      </c>
      <c r="J47">
        <f>Tableau13[[#This Row],[Limite de confiance supérieure]]/$B$16</f>
        <v>2.2060048779175485</v>
      </c>
    </row>
    <row r="48" spans="1:10" x14ac:dyDescent="0.35">
      <c r="A48">
        <v>2057</v>
      </c>
      <c r="C48">
        <f>_xlfn.FORECAST.ETS(A48,$B$2:$B$27,$A$2:$A$27,10,1)</f>
        <v>51.000866378224003</v>
      </c>
      <c r="D48" s="1">
        <f>C48-_xlfn.FORECAST.ETS.CONFINT(A48,$B$2:$B$27,$A$2:$A$27,0.95,10,1)</f>
        <v>36.949091729475555</v>
      </c>
      <c r="E48" s="1">
        <f>C48+_xlfn.FORECAST.ETS.CONFINT(A48,$B$2:$B$27,$A$2:$A$27,0.95,10,1)</f>
        <v>65.052641026972452</v>
      </c>
      <c r="F48">
        <f>Tableau13[[#This Row],[Limite de confiance inférieure]]/$B$16</f>
        <v>1.274106611361226</v>
      </c>
      <c r="G48">
        <f t="shared" si="5"/>
        <v>1.5163785880637854</v>
      </c>
      <c r="H48">
        <f>Tableau13[[#This Row],[Prévision]]/$B$16</f>
        <v>1.7586505647663448</v>
      </c>
      <c r="I48">
        <f t="shared" si="6"/>
        <v>2.0009225414689045</v>
      </c>
      <c r="J48">
        <f>Tableau13[[#This Row],[Limite de confiance supérieure]]/$B$16</f>
        <v>2.2431945181714639</v>
      </c>
    </row>
    <row r="49" spans="1:10" x14ac:dyDescent="0.35">
      <c r="A49">
        <v>2058</v>
      </c>
      <c r="C49">
        <f>_xlfn.FORECAST.ETS(A49,$B$2:$B$27,$A$2:$A$27,10,1)</f>
        <v>51.485373263235388</v>
      </c>
      <c r="D49" s="1">
        <f>C49-_xlfn.FORECAST.ETS.CONFINT(A49,$B$2:$B$27,$A$2:$A$27,0.95,10,1)</f>
        <v>37.189287504262097</v>
      </c>
      <c r="E49" s="1">
        <f>C49+_xlfn.FORECAST.ETS.CONFINT(A49,$B$2:$B$27,$A$2:$A$27,0.95,10,1)</f>
        <v>65.781459022208679</v>
      </c>
      <c r="F49">
        <f>Tableau13[[#This Row],[Limite de confiance inférieure]]/$B$16</f>
        <v>1.2823892242849</v>
      </c>
      <c r="G49">
        <f t="shared" si="5"/>
        <v>1.5288734615085775</v>
      </c>
      <c r="H49">
        <f>Tableau13[[#This Row],[Prévision]]/$B$16</f>
        <v>1.7753576987322548</v>
      </c>
      <c r="I49">
        <f t="shared" si="6"/>
        <v>2.0218419359559325</v>
      </c>
      <c r="J49">
        <f>Tableau13[[#This Row],[Limite de confiance supérieure]]/$B$16</f>
        <v>2.2683261731796098</v>
      </c>
    </row>
    <row r="50" spans="1:10" x14ac:dyDescent="0.35">
      <c r="A50">
        <v>2059</v>
      </c>
      <c r="C50">
        <f>_xlfn.FORECAST.ETS(A50,$B$2:$B$27,$A$2:$A$27,10,1)</f>
        <v>52.185705185822854</v>
      </c>
      <c r="D50" s="1">
        <f>C50-_xlfn.FORECAST.ETS.CONFINT(A50,$B$2:$B$27,$A$2:$A$27,0.95,10,1)</f>
        <v>37.648498543518862</v>
      </c>
      <c r="E50" s="1">
        <f>C50+_xlfn.FORECAST.ETS.CONFINT(A50,$B$2:$B$27,$A$2:$A$27,0.95,10,1)</f>
        <v>66.722911828126854</v>
      </c>
      <c r="F50">
        <f>Tableau13[[#This Row],[Limite de confiance inférieure]]/$B$16</f>
        <v>1.298224087707547</v>
      </c>
      <c r="G50">
        <f t="shared" si="5"/>
        <v>1.5488655815403745</v>
      </c>
      <c r="H50">
        <f>Tableau13[[#This Row],[Prévision]]/$B$16</f>
        <v>1.7995070753732019</v>
      </c>
      <c r="I50">
        <f t="shared" si="6"/>
        <v>2.0501485692060295</v>
      </c>
      <c r="J50">
        <f>Tableau13[[#This Row],[Limite de confiance supérieure]]/$B$16</f>
        <v>2.3007900630388569</v>
      </c>
    </row>
    <row r="51" spans="1:10" x14ac:dyDescent="0.35">
      <c r="A51">
        <v>2060</v>
      </c>
      <c r="C51">
        <f>_xlfn.FORECAST.ETS(A51,$B$2:$B$27,$A$2:$A$27,10,1)</f>
        <v>52.660992911368915</v>
      </c>
      <c r="D51" s="1">
        <f>C51-_xlfn.FORECAST.ETS.CONFINT(A51,$B$2:$B$27,$A$2:$A$27,0.95,10,1)</f>
        <v>37.885697699167167</v>
      </c>
      <c r="E51" s="1">
        <f>C51+_xlfn.FORECAST.ETS.CONFINT(A51,$B$2:$B$27,$A$2:$A$27,0.95,10,1)</f>
        <v>67.436288123570662</v>
      </c>
      <c r="F51">
        <f>Tableau13[[#This Row],[Limite de confiance inférieure]]/$B$16</f>
        <v>1.3064033689367989</v>
      </c>
      <c r="G51">
        <f t="shared" si="5"/>
        <v>1.5611498381126911</v>
      </c>
      <c r="H51">
        <f>Tableau13[[#This Row],[Prévision]]/$B$16</f>
        <v>1.8158963072885832</v>
      </c>
      <c r="I51">
        <f t="shared" si="6"/>
        <v>2.0706427764644753</v>
      </c>
      <c r="J51">
        <f>Tableau13[[#This Row],[Limite de confiance supérieure]]/$B$16</f>
        <v>2.3253892456403675</v>
      </c>
    </row>
    <row r="52" spans="1:10" x14ac:dyDescent="0.35">
      <c r="A52">
        <v>2061</v>
      </c>
      <c r="C52">
        <f>_xlfn.FORECAST.ETS(A52,$B$2:$B$27,$A$2:$A$27,10,1)</f>
        <v>52.664620365315344</v>
      </c>
      <c r="D52" s="1">
        <f>C52-_xlfn.FORECAST.ETS.CONFINT(A52,$B$2:$B$27,$A$2:$A$27,0.95,10,1)</f>
        <v>37.654122905303268</v>
      </c>
      <c r="E52" s="1">
        <f>C52+_xlfn.FORECAST.ETS.CONFINT(A52,$B$2:$B$27,$A$2:$A$27,0.95,10,1)</f>
        <v>67.675117825327419</v>
      </c>
      <c r="F52">
        <f>Tableau13[[#This Row],[Limite de confiance inférieure]]/$B$16</f>
        <v>1.2984180312173541</v>
      </c>
      <c r="G52">
        <f t="shared" si="5"/>
        <v>1.5572197115623898</v>
      </c>
      <c r="H52">
        <f>Tableau13[[#This Row],[Prévision]]/$B$16</f>
        <v>1.8160213919074257</v>
      </c>
      <c r="I52">
        <f t="shared" si="6"/>
        <v>2.0748230722524612</v>
      </c>
      <c r="J52">
        <f>Tableau13[[#This Row],[Limite de confiance supérieure]]/$B$16</f>
        <v>2.3336247525974971</v>
      </c>
    </row>
    <row r="53" spans="1:10" x14ac:dyDescent="0.35">
      <c r="A53">
        <v>2062</v>
      </c>
      <c r="C53">
        <f>_xlfn.FORECAST.ETS(A53,$B$2:$B$27,$A$2:$A$27,10,1)</f>
        <v>52.862037312470726</v>
      </c>
      <c r="D53" s="1">
        <f>C53-_xlfn.FORECAST.ETS.CONFINT(A53,$B$2:$B$27,$A$2:$A$27,0.95,10,1)</f>
        <v>37.619088642409686</v>
      </c>
      <c r="E53" s="1">
        <f>C53+_xlfn.FORECAST.ETS.CONFINT(A53,$B$2:$B$27,$A$2:$A$27,0.95,10,1)</f>
        <v>68.104985982531772</v>
      </c>
      <c r="F53">
        <f>Tableau13[[#This Row],[Limite de confiance inférieure]]/$B$16</f>
        <v>1.2972099531865409</v>
      </c>
      <c r="G53">
        <f t="shared" si="5"/>
        <v>1.5600194130151794</v>
      </c>
      <c r="H53">
        <f>Tableau13[[#This Row],[Prévision]]/$B$16</f>
        <v>1.8228288728438182</v>
      </c>
      <c r="I53">
        <f t="shared" si="6"/>
        <v>2.085638332672457</v>
      </c>
      <c r="J53">
        <f>Tableau13[[#This Row],[Limite de confiance supérieure]]/$B$16</f>
        <v>2.3484477925010956</v>
      </c>
    </row>
    <row r="54" spans="1:10" x14ac:dyDescent="0.35">
      <c r="A54">
        <v>2063</v>
      </c>
      <c r="C54">
        <f>_xlfn.FORECAST.ETS(A54,$B$2:$B$27,$A$2:$A$27,10,1)</f>
        <v>55.093493512441142</v>
      </c>
      <c r="D54" s="1">
        <f>C54-_xlfn.FORECAST.ETS.CONFINT(A54,$B$2:$B$27,$A$2:$A$27,0.95,10,1)</f>
        <v>39.620719032080849</v>
      </c>
      <c r="E54" s="1">
        <f>C54+_xlfn.FORECAST.ETS.CONFINT(A54,$B$2:$B$27,$A$2:$A$27,0.95,10,1)</f>
        <v>70.566267992801443</v>
      </c>
      <c r="F54">
        <f>Tableau13[[#This Row],[Limite de confiance inférieure]]/$B$16</f>
        <v>1.3662316907614085</v>
      </c>
      <c r="G54">
        <f t="shared" si="5"/>
        <v>1.633003664560724</v>
      </c>
      <c r="H54">
        <f>Tableau13[[#This Row],[Prévision]]/$B$16</f>
        <v>1.8997756383600395</v>
      </c>
      <c r="I54">
        <f t="shared" si="6"/>
        <v>2.1665476121593548</v>
      </c>
      <c r="J54">
        <f>Tableau13[[#This Row],[Limite de confiance supérieure]]/$B$16</f>
        <v>2.4333195859586705</v>
      </c>
    </row>
    <row r="55" spans="1:10" x14ac:dyDescent="0.35">
      <c r="A55">
        <v>2064</v>
      </c>
      <c r="C55">
        <f>_xlfn.FORECAST.ETS(A55,$B$2:$B$27,$A$2:$A$27,10,1)</f>
        <v>58.032037153733647</v>
      </c>
      <c r="D55" s="1">
        <f>C55-_xlfn.FORECAST.ETS.CONFINT(A55,$B$2:$B$27,$A$2:$A$27,0.95,10,1)</f>
        <v>42.331945341515961</v>
      </c>
      <c r="E55" s="1">
        <f>C55+_xlfn.FORECAST.ETS.CONFINT(A55,$B$2:$B$27,$A$2:$A$27,0.95,10,1)</f>
        <v>73.732128965951333</v>
      </c>
      <c r="F55">
        <f>Tableau13[[#This Row],[Limite de confiance inférieure]]/$B$16</f>
        <v>1.4597222531557228</v>
      </c>
      <c r="G55">
        <f t="shared" si="5"/>
        <v>1.730413491297407</v>
      </c>
      <c r="H55">
        <f>Tableau13[[#This Row],[Prévision]]/$B$16</f>
        <v>2.0011047294390911</v>
      </c>
      <c r="I55">
        <f t="shared" si="6"/>
        <v>2.2717959675807755</v>
      </c>
      <c r="J55">
        <f>Tableau13[[#This Row],[Limite de confiance supérieure]]/$B$16</f>
        <v>2.5424872057224599</v>
      </c>
    </row>
    <row r="56" spans="1:10" x14ac:dyDescent="0.35">
      <c r="A56">
        <v>2065</v>
      </c>
      <c r="C56">
        <f>_xlfn.FORECAST.ETS(A56,$B$2:$B$27,$A$2:$A$27,10,1)</f>
        <v>58.397245998876592</v>
      </c>
      <c r="D56" s="1">
        <f>C56-_xlfn.FORECAST.ETS.CONFINT(A56,$B$2:$B$27,$A$2:$A$27,0.95,10,1)</f>
        <v>42.472236310868198</v>
      </c>
      <c r="E56" s="1">
        <f>C56+_xlfn.FORECAST.ETS.CONFINT(A56,$B$2:$B$27,$A$2:$A$27,0.95,10,1)</f>
        <v>74.322255686884986</v>
      </c>
      <c r="F56">
        <f>Tableau13[[#This Row],[Limite de confiance inférieure]]/$B$16</f>
        <v>1.4645598727885585</v>
      </c>
      <c r="G56">
        <f t="shared" si="5"/>
        <v>1.7391290053404274</v>
      </c>
      <c r="H56">
        <f>Tableau13[[#This Row],[Prévision]]/$B$16</f>
        <v>2.0136981378922965</v>
      </c>
      <c r="I56">
        <f t="shared" si="6"/>
        <v>2.2882672704441651</v>
      </c>
      <c r="J56">
        <f>Tableau13[[#This Row],[Limite de confiance supérieure]]/$B$16</f>
        <v>2.5628364029960342</v>
      </c>
    </row>
    <row r="57" spans="1:10" x14ac:dyDescent="0.35">
      <c r="A57">
        <v>2066</v>
      </c>
      <c r="C57">
        <f>_xlfn.FORECAST.ETS(A57,$B$2:$B$27,$A$2:$A$27,10,1)</f>
        <v>58.393134683674859</v>
      </c>
      <c r="D57" s="1">
        <f>C57-_xlfn.FORECAST.ETS.CONFINT(A57,$B$2:$B$27,$A$2:$A$27,0.95,10,1)</f>
        <v>42.245504730567376</v>
      </c>
      <c r="E57" s="1">
        <f>C57+_xlfn.FORECAST.ETS.CONFINT(A57,$B$2:$B$27,$A$2:$A$27,0.95,10,1)</f>
        <v>74.540764636782342</v>
      </c>
      <c r="F57">
        <f>Tableau13[[#This Row],[Limite de confiance inférieure]]/$B$16</f>
        <v>1.4567415424333578</v>
      </c>
      <c r="G57">
        <f t="shared" si="5"/>
        <v>1.7351489554179695</v>
      </c>
      <c r="H57">
        <f>Tableau13[[#This Row],[Prévision]]/$B$16</f>
        <v>2.0135563684025812</v>
      </c>
      <c r="I57">
        <f t="shared" si="6"/>
        <v>2.2919637813871931</v>
      </c>
      <c r="J57">
        <f>Tableau13[[#This Row],[Limite de confiance supérieure]]/$B$16</f>
        <v>2.5703711943718051</v>
      </c>
    </row>
    <row r="58" spans="1:10" x14ac:dyDescent="0.35">
      <c r="A58">
        <v>2067</v>
      </c>
      <c r="C58">
        <f>_xlfn.FORECAST.ETS(A58,$B$2:$B$27,$A$2:$A$27,10,1)</f>
        <v>58.494990515461183</v>
      </c>
      <c r="D58" s="1">
        <f>C58-_xlfn.FORECAST.ETS.CONFINT(A58,$B$2:$B$27,$A$2:$A$27,0.95,10,1)</f>
        <v>41.531446851434943</v>
      </c>
      <c r="E58" s="1">
        <f>C58+_xlfn.FORECAST.ETS.CONFINT(A58,$B$2:$B$27,$A$2:$A$27,0.95,10,1)</f>
        <v>75.45853417948743</v>
      </c>
      <c r="F58">
        <f>Tableau13[[#This Row],[Limite de confiance inférieure]]/$B$16</f>
        <v>1.4321188569460326</v>
      </c>
      <c r="G58">
        <f t="shared" si="5"/>
        <v>1.7245937477051054</v>
      </c>
      <c r="H58">
        <f>Tableau13[[#This Row],[Prévision]]/$B$16</f>
        <v>2.0170686384641785</v>
      </c>
      <c r="I58">
        <f t="shared" si="6"/>
        <v>2.3095435292232516</v>
      </c>
      <c r="J58">
        <f>Tableau13[[#This Row],[Limite de confiance supérieure]]/$B$16</f>
        <v>2.6020184199823251</v>
      </c>
    </row>
    <row r="59" spans="1:10" x14ac:dyDescent="0.35">
      <c r="A59">
        <v>2068</v>
      </c>
      <c r="C59">
        <f>_xlfn.FORECAST.ETS(A59,$B$2:$B$27,$A$2:$A$27,10,1)</f>
        <v>58.979497400472574</v>
      </c>
      <c r="D59" s="1">
        <f>C59-_xlfn.FORECAST.ETS.CONFINT(A59,$B$2:$B$27,$A$2:$A$27,0.95,10,1)</f>
        <v>41.805216511757557</v>
      </c>
      <c r="E59" s="1">
        <f>C59+_xlfn.FORECAST.ETS.CONFINT(A59,$B$2:$B$27,$A$2:$A$27,0.95,10,1)</f>
        <v>76.153778289187585</v>
      </c>
      <c r="F59">
        <f>Tableau13[[#This Row],[Limite de confiance inférieure]]/$B$16</f>
        <v>1.4415591900606055</v>
      </c>
      <c r="G59">
        <f t="shared" si="5"/>
        <v>1.7376674812453472</v>
      </c>
      <c r="H59">
        <f>Tableau13[[#This Row],[Prévision]]/$B$16</f>
        <v>2.0337757724300887</v>
      </c>
      <c r="I59">
        <f t="shared" si="6"/>
        <v>2.3298840636148306</v>
      </c>
      <c r="J59">
        <f>Tableau13[[#This Row],[Limite de confiance supérieure]]/$B$16</f>
        <v>2.625992354799572</v>
      </c>
    </row>
    <row r="60" spans="1:10" x14ac:dyDescent="0.35">
      <c r="A60">
        <v>2069</v>
      </c>
      <c r="C60">
        <f>_xlfn.FORECAST.ETS(A60,$B$2:$B$27,$A$2:$A$27,10,1)</f>
        <v>59.679829323060041</v>
      </c>
      <c r="D60" s="1">
        <f>C60-_xlfn.FORECAST.ETS.CONFINT(A60,$B$2:$B$27,$A$2:$A$27,0.95,10,1)</f>
        <v>42.296585770051124</v>
      </c>
      <c r="E60" s="1">
        <f>C60+_xlfn.FORECAST.ETS.CONFINT(A60,$B$2:$B$27,$A$2:$A$27,0.95,10,1)</f>
        <v>77.063072876068958</v>
      </c>
      <c r="F60">
        <f>Tableau13[[#This Row],[Limite de confiance inférieure]]/$B$16</f>
        <v>1.4585029575879698</v>
      </c>
      <c r="G60">
        <f t="shared" si="5"/>
        <v>1.7582140533295028</v>
      </c>
      <c r="H60">
        <f>Tableau13[[#This Row],[Prévision]]/$B$16</f>
        <v>2.057925149071036</v>
      </c>
      <c r="I60">
        <f t="shared" si="6"/>
        <v>2.3576362448125687</v>
      </c>
      <c r="J60">
        <f>Tableau13[[#This Row],[Limite de confiance supérieure]]/$B$16</f>
        <v>2.6573473405541019</v>
      </c>
    </row>
    <row r="61" spans="1:10" x14ac:dyDescent="0.35">
      <c r="A61">
        <v>2070</v>
      </c>
      <c r="C61">
        <f>_xlfn.FORECAST.ETS(A61,$B$2:$B$27,$A$2:$A$27,10,1)</f>
        <v>60.155117048606094</v>
      </c>
      <c r="D61" s="1">
        <f>C61-_xlfn.FORECAST.ETS.CONFINT(A61,$B$2:$B$27,$A$2:$A$27,0.95,10,1)</f>
        <v>42.564620699535254</v>
      </c>
      <c r="E61" s="1">
        <f>C61+_xlfn.FORECAST.ETS.CONFINT(A61,$B$2:$B$27,$A$2:$A$27,0.95,10,1)</f>
        <v>77.745613397676934</v>
      </c>
      <c r="F61">
        <f>Tableau13[[#This Row],[Limite de confiance inférieure]]/$B$16</f>
        <v>1.4677455413632847</v>
      </c>
      <c r="G61">
        <f t="shared" si="5"/>
        <v>1.7710299611748508</v>
      </c>
      <c r="H61">
        <f>Tableau13[[#This Row],[Prévision]]/$B$16</f>
        <v>2.0743143809864169</v>
      </c>
      <c r="I61">
        <f t="shared" si="6"/>
        <v>2.3775988007979834</v>
      </c>
      <c r="J61">
        <f>Tableau13[[#This Row],[Limite de confiance supérieure]]/$B$16</f>
        <v>2.6808832206095494</v>
      </c>
    </row>
    <row r="62" spans="1:10" x14ac:dyDescent="0.35">
      <c r="A62">
        <v>2071</v>
      </c>
      <c r="C62">
        <f>_xlfn.FORECAST.ETS(A62,$B$2:$B$27,$A$2:$A$27,10,1)</f>
        <v>60.158744502552523</v>
      </c>
      <c r="D62" s="1">
        <f>C62-_xlfn.FORECAST.ETS.CONFINT(A62,$B$2:$B$27,$A$2:$A$27,0.95,10,1)</f>
        <v>42.36264405262407</v>
      </c>
      <c r="E62" s="1">
        <f>C62+_xlfn.FORECAST.ETS.CONFINT(A62,$B$2:$B$27,$A$2:$A$27,0.95,10,1)</f>
        <v>77.954844952480983</v>
      </c>
      <c r="F62">
        <f>Tableau13[[#This Row],[Limite de confiance inférieure]]/$B$16</f>
        <v>1.46078082940083</v>
      </c>
      <c r="G62">
        <f t="shared" si="5"/>
        <v>1.7676101475030448</v>
      </c>
      <c r="H62">
        <f>Tableau13[[#This Row],[Prévision]]/$B$16</f>
        <v>2.0744394656052596</v>
      </c>
      <c r="I62">
        <f t="shared" si="6"/>
        <v>2.3812687837074744</v>
      </c>
      <c r="J62">
        <f>Tableau13[[#This Row],[Limite de confiance supérieure]]/$B$16</f>
        <v>2.6880981018096892</v>
      </c>
    </row>
    <row r="63" spans="1:10" x14ac:dyDescent="0.35">
      <c r="A63">
        <v>2072</v>
      </c>
      <c r="C63">
        <f>_xlfn.FORECAST.ETS(A63,$B$2:$B$27,$A$2:$A$27,10,1)</f>
        <v>60.356161449707905</v>
      </c>
      <c r="D63" s="1">
        <f>C63-_xlfn.FORECAST.ETS.CONFINT(A63,$B$2:$B$27,$A$2:$A$27,0.95,10,1)</f>
        <v>42.3560476805077</v>
      </c>
      <c r="E63" s="1">
        <f>C63+_xlfn.FORECAST.ETS.CONFINT(A63,$B$2:$B$27,$A$2:$A$27,0.95,10,1)</f>
        <v>78.35627521890811</v>
      </c>
      <c r="F63">
        <f>Tableau13[[#This Row],[Limite de confiance inférieure]]/$B$16</f>
        <v>1.4605533682933689</v>
      </c>
      <c r="G63">
        <f t="shared" si="5"/>
        <v>1.7709001574175103</v>
      </c>
      <c r="H63">
        <f>Tableau13[[#This Row],[Prévision]]/$B$16</f>
        <v>2.0812469465416519</v>
      </c>
      <c r="I63">
        <f t="shared" si="6"/>
        <v>2.3915937356657935</v>
      </c>
      <c r="J63">
        <f>Tableau13[[#This Row],[Limite de confiance supérieure]]/$B$16</f>
        <v>2.7019405247899346</v>
      </c>
    </row>
    <row r="64" spans="1:10" x14ac:dyDescent="0.35">
      <c r="A64">
        <v>2073</v>
      </c>
      <c r="C64">
        <f>_xlfn.FORECAST.ETS(A64,$B$2:$B$27,$A$2:$A$27,10,1)</f>
        <v>62.587617649678322</v>
      </c>
      <c r="D64" s="1">
        <f>C64-_xlfn.FORECAST.ETS.CONFINT(A64,$B$2:$B$27,$A$2:$A$27,0.95,10,1)</f>
        <v>44.385026452917018</v>
      </c>
      <c r="E64" s="1">
        <f>C64+_xlfn.FORECAST.ETS.CONFINT(A64,$B$2:$B$27,$A$2:$A$27,0.95,10,1)</f>
        <v>80.790208846439626</v>
      </c>
      <c r="F64">
        <f>Tableau13[[#This Row],[Limite de confiance inférieure]]/$B$16</f>
        <v>1.5305181535488628</v>
      </c>
      <c r="G64">
        <f t="shared" si="5"/>
        <v>1.8443559328033681</v>
      </c>
      <c r="H64">
        <f>Tableau13[[#This Row],[Prévision]]/$B$16</f>
        <v>2.1581937120578734</v>
      </c>
      <c r="I64">
        <f t="shared" si="6"/>
        <v>2.4720314913123786</v>
      </c>
      <c r="J64">
        <f>Tableau13[[#This Row],[Limite de confiance supérieure]]/$B$16</f>
        <v>2.7858692705668835</v>
      </c>
    </row>
    <row r="65" spans="1:10" x14ac:dyDescent="0.35">
      <c r="A65">
        <v>2074</v>
      </c>
      <c r="C65">
        <f>_xlfn.FORECAST.ETS(A65,$B$2:$B$27,$A$2:$A$27,10,1)</f>
        <v>65.526161290970833</v>
      </c>
      <c r="D65" s="1">
        <f>C65-_xlfn.FORECAST.ETS.CONFINT(A65,$B$2:$B$27,$A$2:$A$27,0.95,10,1)</f>
        <v>47.122576477955604</v>
      </c>
      <c r="E65" s="1">
        <f>C65+_xlfn.FORECAST.ETS.CONFINT(A65,$B$2:$B$27,$A$2:$A$27,0.95,10,1)</f>
        <v>83.929746103986062</v>
      </c>
      <c r="F65">
        <f>Tableau13[[#This Row],[Limite de confiance inférieure]]/$B$16</f>
        <v>1.6249164302743311</v>
      </c>
      <c r="G65">
        <f t="shared" si="5"/>
        <v>1.9422196167056283</v>
      </c>
      <c r="H65">
        <f>Tableau13[[#This Row],[Prévision]]/$B$16</f>
        <v>2.2595228031369254</v>
      </c>
      <c r="I65">
        <f t="shared" si="6"/>
        <v>2.5768259895682224</v>
      </c>
      <c r="J65">
        <f>Tableau13[[#This Row],[Limite de confiance supérieure]]/$B$16</f>
        <v>2.8941291759995194</v>
      </c>
    </row>
    <row r="66" spans="1:10" x14ac:dyDescent="0.35">
      <c r="A66">
        <v>2075</v>
      </c>
      <c r="C66">
        <f>_xlfn.FORECAST.ETS(A66,$B$2:$B$27,$A$2:$A$27,10,1)</f>
        <v>65.891370136113778</v>
      </c>
      <c r="D66" s="1">
        <f>C66-_xlfn.FORECAST.ETS.CONFINT(A66,$B$2:$B$27,$A$2:$A$27,0.95,10,1)</f>
        <v>47.288226052019667</v>
      </c>
      <c r="E66" s="1">
        <f>C66+_xlfn.FORECAST.ETS.CONFINT(A66,$B$2:$B$27,$A$2:$A$27,0.95,10,1)</f>
        <v>84.49451422020789</v>
      </c>
      <c r="F66">
        <f>Tableau13[[#This Row],[Limite de confiance inférieure]]/$B$16</f>
        <v>1.6306284845524024</v>
      </c>
      <c r="G66">
        <f t="shared" si="5"/>
        <v>1.9513723480712664</v>
      </c>
      <c r="H66">
        <f>Tableau13[[#This Row],[Prévision]]/$B$16</f>
        <v>2.2721162115901303</v>
      </c>
      <c r="I66">
        <f t="shared" si="6"/>
        <v>2.5928600751089945</v>
      </c>
      <c r="J66">
        <f>Tableau13[[#This Row],[Limite de confiance supérieure]]/$B$16</f>
        <v>2.9136039386278583</v>
      </c>
    </row>
    <row r="67" spans="1:10" x14ac:dyDescent="0.35">
      <c r="A67">
        <v>2076</v>
      </c>
      <c r="C67">
        <f>_xlfn.FORECAST.ETS(A67,$B$2:$B$27,$A$2:$A$27,10,1)</f>
        <v>65.887258820912052</v>
      </c>
      <c r="D67" s="1">
        <f>C67-_xlfn.FORECAST.ETS.CONFINT(A67,$B$2:$B$27,$A$2:$A$27,0.95,10,1)</f>
        <v>47.085942780892623</v>
      </c>
      <c r="E67" s="1">
        <f>C67+_xlfn.FORECAST.ETS.CONFINT(A67,$B$2:$B$27,$A$2:$A$27,0.95,10,1)</f>
        <v>84.688574860931482</v>
      </c>
      <c r="F67">
        <f>Tableau13[[#This Row],[Limite de confiance inférieure]]/$B$16</f>
        <v>1.623653199341125</v>
      </c>
      <c r="G67">
        <f t="shared" si="5"/>
        <v>1.9478138207207703</v>
      </c>
      <c r="H67">
        <f>Tableau13[[#This Row],[Prévision]]/$B$16</f>
        <v>2.2719744421004155</v>
      </c>
      <c r="I67">
        <f t="shared" si="6"/>
        <v>2.5961350634800606</v>
      </c>
      <c r="J67">
        <f>Tableau13[[#This Row],[Limite de confiance supérieure]]/$B$16</f>
        <v>2.9202956848597061</v>
      </c>
    </row>
    <row r="68" spans="1:10" x14ac:dyDescent="0.35">
      <c r="A68">
        <v>2077</v>
      </c>
      <c r="C68">
        <f>_xlfn.FORECAST.ETS(A68,$B$2:$B$27,$A$2:$A$27,10,1)</f>
        <v>65.989114652698376</v>
      </c>
      <c r="D68" s="1">
        <f>C68-_xlfn.FORECAST.ETS.CONFINT(A68,$B$2:$B$27,$A$2:$A$27,0.95,10,1)</f>
        <v>46.469048401699354</v>
      </c>
      <c r="E68" s="1">
        <f>C68+_xlfn.FORECAST.ETS.CONFINT(A68,$B$2:$B$27,$A$2:$A$27,0.95,10,1)</f>
        <v>85.509180903697398</v>
      </c>
      <c r="F68">
        <f>Tableau13[[#This Row],[Limite de confiance inférieure]]/$B$16</f>
        <v>1.6023809793689432</v>
      </c>
      <c r="G68">
        <f t="shared" si="5"/>
        <v>1.9389338457654781</v>
      </c>
      <c r="H68">
        <f>Tableau13[[#This Row],[Prévision]]/$B$16</f>
        <v>2.2754867121620128</v>
      </c>
      <c r="I68">
        <f t="shared" si="6"/>
        <v>2.612039578558548</v>
      </c>
      <c r="J68">
        <f>Tableau13[[#This Row],[Limite de confiance supérieure]]/$B$16</f>
        <v>2.9485924449550827</v>
      </c>
    </row>
    <row r="69" spans="1:10" x14ac:dyDescent="0.35">
      <c r="A69">
        <v>2078</v>
      </c>
      <c r="C69">
        <f>_xlfn.FORECAST.ETS(A69,$B$2:$B$27,$A$2:$A$27,10,1)</f>
        <v>66.473621537709761</v>
      </c>
      <c r="D69" s="1">
        <f>C69-_xlfn.FORECAST.ETS.CONFINT(A69,$B$2:$B$27,$A$2:$A$27,0.95,10,1)</f>
        <v>46.763202645340243</v>
      </c>
      <c r="E69" s="1">
        <f>C69+_xlfn.FORECAST.ETS.CONFINT(A69,$B$2:$B$27,$A$2:$A$27,0.95,10,1)</f>
        <v>86.184040430079278</v>
      </c>
      <c r="F69">
        <f>Tableau13[[#This Row],[Limite de confiance inférieure]]/$B$16</f>
        <v>1.6125242291496635</v>
      </c>
      <c r="G69">
        <f t="shared" si="5"/>
        <v>1.9523590376387934</v>
      </c>
      <c r="H69">
        <f>Tableau13[[#This Row],[Prévision]]/$B$16</f>
        <v>2.292193846127923</v>
      </c>
      <c r="I69">
        <f t="shared" si="6"/>
        <v>2.6320286546170526</v>
      </c>
      <c r="J69">
        <f>Tableau13[[#This Row],[Limite de confiance supérieure]]/$B$16</f>
        <v>2.9718634631061822</v>
      </c>
    </row>
    <row r="70" spans="1:10" x14ac:dyDescent="0.35">
      <c r="A70">
        <v>2079</v>
      </c>
      <c r="C70">
        <f>_xlfn.FORECAST.ETS(A70,$B$2:$B$27,$A$2:$A$27,10,1)</f>
        <v>67.173953460297227</v>
      </c>
      <c r="D70" s="1">
        <f>C70-_xlfn.FORECAST.ETS.CONFINT(A70,$B$2:$B$27,$A$2:$A$27,0.95,10,1)</f>
        <v>47.274308447163989</v>
      </c>
      <c r="E70" s="1">
        <f>C70+_xlfn.FORECAST.ETS.CONFINT(A70,$B$2:$B$27,$A$2:$A$27,0.95,10,1)</f>
        <v>87.073598473430465</v>
      </c>
      <c r="F70">
        <f>Tableau13[[#This Row],[Limite de confiance inférieure]]/$B$16</f>
        <v>1.6301485671435858</v>
      </c>
      <c r="G70">
        <f t="shared" si="5"/>
        <v>1.9732458949562277</v>
      </c>
      <c r="H70">
        <f>Tableau13[[#This Row],[Prévision]]/$B$16</f>
        <v>2.3163432227688698</v>
      </c>
      <c r="I70">
        <f t="shared" si="6"/>
        <v>2.659440550581512</v>
      </c>
      <c r="J70">
        <f>Tableau13[[#This Row],[Limite de confiance supérieure]]/$B$16</f>
        <v>3.0025378783941541</v>
      </c>
    </row>
    <row r="71" spans="1:10" x14ac:dyDescent="0.35">
      <c r="A71">
        <v>2080</v>
      </c>
      <c r="C71">
        <f>_xlfn.FORECAST.ETS(A71,$B$2:$B$27,$A$2:$A$27,10,1)</f>
        <v>67.64924118584328</v>
      </c>
      <c r="D71" s="1">
        <f>C71-_xlfn.FORECAST.ETS.CONFINT(A71,$B$2:$B$27,$A$2:$A$27,0.95,10,1)</f>
        <v>47.56146346702549</v>
      </c>
      <c r="E71" s="1">
        <f>C71+_xlfn.FORECAST.ETS.CONFINT(A71,$B$2:$B$27,$A$2:$A$27,0.95,10,1)</f>
        <v>87.73701890466107</v>
      </c>
      <c r="F71">
        <f>Tableau13[[#This Row],[Limite de confiance inférieure]]/$B$16</f>
        <v>1.6400504643801894</v>
      </c>
      <c r="G71">
        <f t="shared" si="5"/>
        <v>1.9863914595322203</v>
      </c>
      <c r="H71">
        <f>Tableau13[[#This Row],[Prévision]]/$B$16</f>
        <v>2.3327324546842512</v>
      </c>
      <c r="I71">
        <f t="shared" si="6"/>
        <v>2.6790734498362818</v>
      </c>
      <c r="J71">
        <f>Tableau13[[#This Row],[Limite de confiance supérieure]]/$B$16</f>
        <v>3.0254144449883129</v>
      </c>
    </row>
    <row r="72" spans="1:10" x14ac:dyDescent="0.35">
      <c r="A72">
        <v>2081</v>
      </c>
      <c r="C72">
        <f>_xlfn.FORECAST.ETS(A72,$B$2:$B$27,$A$2:$A$27,10,1)</f>
        <v>67.652868639789702</v>
      </c>
      <c r="D72" s="1">
        <f>C72-_xlfn.FORECAST.ETS.CONFINT(A72,$B$2:$B$27,$A$2:$A$27,0.95,10,1)</f>
        <v>47.378019934126435</v>
      </c>
      <c r="E72" s="1">
        <f>C72+_xlfn.FORECAST.ETS.CONFINT(A72,$B$2:$B$27,$A$2:$A$27,0.95,10,1)</f>
        <v>87.927717345452976</v>
      </c>
      <c r="F72">
        <f>Tableau13[[#This Row],[Limite de confiance inférieure]]/$B$16</f>
        <v>1.6337248253147048</v>
      </c>
      <c r="G72">
        <f t="shared" si="5"/>
        <v>1.983291182308899</v>
      </c>
      <c r="H72">
        <f>Tableau13[[#This Row],[Prévision]]/$B$16</f>
        <v>2.332857539303093</v>
      </c>
      <c r="I72">
        <f t="shared" si="6"/>
        <v>2.6824238962972875</v>
      </c>
      <c r="J72">
        <f>Tableau13[[#This Row],[Limite de confiance supérieure]]/$B$16</f>
        <v>3.031990253291482</v>
      </c>
    </row>
    <row r="73" spans="1:10" x14ac:dyDescent="0.35">
      <c r="A73">
        <v>2082</v>
      </c>
      <c r="C73">
        <f>_xlfn.FORECAST.ETS(A73,$B$2:$B$27,$A$2:$A$27,10,1)</f>
        <v>67.850285586945091</v>
      </c>
      <c r="D73" s="1">
        <f>C73-_xlfn.FORECAST.ETS.CONFINT(A73,$B$2:$B$27,$A$2:$A$27,0.95,10,1)</f>
        <v>47.389397244828956</v>
      </c>
      <c r="E73" s="1">
        <f>C73+_xlfn.FORECAST.ETS.CONFINT(A73,$B$2:$B$27,$A$2:$A$27,0.95,10,1)</f>
        <v>88.311173929061226</v>
      </c>
      <c r="F73">
        <f>Tableau13[[#This Row],[Limite de confiance inférieure]]/$B$16</f>
        <v>1.6341171463734123</v>
      </c>
      <c r="G73">
        <f t="shared" si="5"/>
        <v>1.986891083306449</v>
      </c>
      <c r="H73">
        <f>Tableau13[[#This Row],[Prévision]]/$B$16</f>
        <v>2.3396650202394857</v>
      </c>
      <c r="I73">
        <f t="shared" si="6"/>
        <v>2.6924389571725227</v>
      </c>
      <c r="J73">
        <f>Tableau13[[#This Row],[Limite de confiance supérieure]]/$B$16</f>
        <v>3.0452128941055596</v>
      </c>
    </row>
    <row r="74" spans="1:10" x14ac:dyDescent="0.35">
      <c r="A74">
        <v>2083</v>
      </c>
      <c r="C74">
        <f>_xlfn.FORECAST.ETS(A74,$B$2:$B$27,$A$2:$A$27,10,1)</f>
        <v>70.081741786915501</v>
      </c>
      <c r="D74" s="1">
        <f>C74-_xlfn.FORECAST.ETS.CONFINT(A74,$B$2:$B$27,$A$2:$A$27,0.95,10,1)</f>
        <v>49.435816042527691</v>
      </c>
      <c r="E74" s="1">
        <f>C74+_xlfn.FORECAST.ETS.CONFINT(A74,$B$2:$B$27,$A$2:$A$27,0.95,10,1)</f>
        <v>90.727667531303311</v>
      </c>
      <c r="F74">
        <f>Tableau13[[#This Row],[Limite de confiance inférieure]]/$B$16</f>
        <v>1.7046833118112996</v>
      </c>
      <c r="G74">
        <f t="shared" si="5"/>
        <v>2.0606475487835034</v>
      </c>
      <c r="H74">
        <f>Tableau13[[#This Row],[Prévision]]/$B$16</f>
        <v>2.4166117857557068</v>
      </c>
      <c r="I74">
        <f t="shared" si="6"/>
        <v>2.7725760227279101</v>
      </c>
      <c r="J74">
        <f>Tableau13[[#This Row],[Limite de confiance supérieure]]/$B$16</f>
        <v>3.128540259700114</v>
      </c>
    </row>
    <row r="75" spans="1:10" x14ac:dyDescent="0.35">
      <c r="A75">
        <v>2084</v>
      </c>
      <c r="C75">
        <f>_xlfn.FORECAST.ETS(A75,$B$2:$B$27,$A$2:$A$27,10,1)</f>
        <v>73.020285428208012</v>
      </c>
      <c r="D75" s="1">
        <f>C75-_xlfn.FORECAST.ETS.CONFINT(A75,$B$2:$B$27,$A$2:$A$27,0.95,10,1)</f>
        <v>52.190296581611229</v>
      </c>
      <c r="E75" s="1">
        <f>C75+_xlfn.FORECAST.ETS.CONFINT(A75,$B$2:$B$27,$A$2:$A$27,0.95,10,1)</f>
        <v>93.850274274804804</v>
      </c>
      <c r="F75">
        <f>Tableau13[[#This Row],[Limite de confiance inférieure]]/$B$16</f>
        <v>1.7996653993659044</v>
      </c>
      <c r="G75">
        <f t="shared" si="5"/>
        <v>2.1588031381003319</v>
      </c>
      <c r="H75">
        <f>Tableau13[[#This Row],[Prévision]]/$B$16</f>
        <v>2.5179408768347589</v>
      </c>
      <c r="I75">
        <f t="shared" si="6"/>
        <v>2.8770786155691863</v>
      </c>
      <c r="J75">
        <f>Tableau13[[#This Row],[Limite de confiance supérieure]]/$B$16</f>
        <v>3.2362163543036138</v>
      </c>
    </row>
    <row r="76" spans="1:10" x14ac:dyDescent="0.35">
      <c r="A76">
        <v>2085</v>
      </c>
      <c r="C76">
        <f>_xlfn.FORECAST.ETS(A76,$B$2:$B$27,$A$2:$A$27,10,1)</f>
        <v>73.385494273350957</v>
      </c>
      <c r="D76" s="1">
        <f>C76-_xlfn.FORECAST.ETS.CONFINT(A76,$B$2:$B$27,$A$2:$A$27,0.95,10,1)</f>
        <v>52.372389807390348</v>
      </c>
      <c r="E76" s="1">
        <f>C76+_xlfn.FORECAST.ETS.CONFINT(A76,$B$2:$B$27,$A$2:$A$27,0.95,10,1)</f>
        <v>94.398598739311566</v>
      </c>
      <c r="F76">
        <f>Tableau13[[#This Row],[Limite de confiance inférieure]]/$B$16</f>
        <v>1.8059444761169086</v>
      </c>
      <c r="G76">
        <f t="shared" si="5"/>
        <v>2.1682393807024365</v>
      </c>
      <c r="H76">
        <f>Tableau13[[#This Row],[Prévision]]/$B$16</f>
        <v>2.5305342852879642</v>
      </c>
      <c r="I76">
        <f t="shared" si="6"/>
        <v>2.8928291898734919</v>
      </c>
      <c r="J76">
        <f>Tableau13[[#This Row],[Limite de confiance supérieure]]/$B$16</f>
        <v>3.2551240944590196</v>
      </c>
    </row>
    <row r="77" spans="1:10" x14ac:dyDescent="0.35">
      <c r="A77">
        <v>2086</v>
      </c>
      <c r="C77">
        <f>_xlfn.FORECAST.ETS(A77,$B$2:$B$27,$A$2:$A$27,10,1)</f>
        <v>73.381382958149231</v>
      </c>
      <c r="D77" s="1">
        <f>C77-_xlfn.FORECAST.ETS.CONFINT(A77,$B$2:$B$27,$A$2:$A$27,0.95,10,1)</f>
        <v>52.186084594691977</v>
      </c>
      <c r="E77" s="1">
        <f>C77+_xlfn.FORECAST.ETS.CONFINT(A77,$B$2:$B$27,$A$2:$A$27,0.95,10,1)</f>
        <v>94.576681321606486</v>
      </c>
      <c r="F77">
        <f>Tableau13[[#This Row],[Limite de confiance inférieure]]/$B$16</f>
        <v>1.7995201584376543</v>
      </c>
      <c r="G77">
        <f t="shared" si="5"/>
        <v>2.1649563371179519</v>
      </c>
      <c r="H77">
        <f>Tableau13[[#This Row],[Prévision]]/$B$16</f>
        <v>2.5303925157982494</v>
      </c>
      <c r="I77">
        <f t="shared" si="6"/>
        <v>2.895828694478547</v>
      </c>
      <c r="J77">
        <f>Tableau13[[#This Row],[Limite de confiance supérieure]]/$B$16</f>
        <v>3.2612648731588445</v>
      </c>
    </row>
    <row r="78" spans="1:10" x14ac:dyDescent="0.35">
      <c r="A78">
        <v>2087</v>
      </c>
      <c r="C78">
        <f>_xlfn.FORECAST.ETS(A78,$B$2:$B$27,$A$2:$A$27,10,1)</f>
        <v>73.483238789935555</v>
      </c>
      <c r="D78" s="1">
        <f>C78-_xlfn.FORECAST.ETS.CONFINT(A78,$B$2:$B$27,$A$2:$A$27,0.95,10,1)</f>
        <v>51.635654980685089</v>
      </c>
      <c r="E78" s="1">
        <f>C78+_xlfn.FORECAST.ETS.CONFINT(A78,$B$2:$B$27,$A$2:$A$27,0.95,10,1)</f>
        <v>95.330822599186021</v>
      </c>
      <c r="F78">
        <f>Tableau13[[#This Row],[Limite de confiance inférieure]]/$B$16</f>
        <v>1.7805398269201755</v>
      </c>
      <c r="G78">
        <f t="shared" si="5"/>
        <v>2.1572223063900111</v>
      </c>
      <c r="H78">
        <f>Tableau13[[#This Row],[Prévision]]/$B$16</f>
        <v>2.5339047858598467</v>
      </c>
      <c r="I78">
        <f t="shared" si="6"/>
        <v>2.9105872653296823</v>
      </c>
      <c r="J78">
        <f>Tableau13[[#This Row],[Limite de confiance supérieure]]/$B$16</f>
        <v>3.2872697447995178</v>
      </c>
    </row>
    <row r="79" spans="1:10" x14ac:dyDescent="0.35">
      <c r="A79">
        <v>2088</v>
      </c>
      <c r="C79">
        <f>_xlfn.FORECAST.ETS(A79,$B$2:$B$27,$A$2:$A$27,10,1)</f>
        <v>73.96774567494694</v>
      </c>
      <c r="D79" s="1">
        <f>C79-_xlfn.FORECAST.ETS.CONFINT(A79,$B$2:$B$27,$A$2:$A$27,0.95,10,1)</f>
        <v>51.943596117033927</v>
      </c>
      <c r="E79" s="1">
        <f>C79+_xlfn.FORECAST.ETS.CONFINT(A79,$B$2:$B$27,$A$2:$A$27,0.95,10,1)</f>
        <v>95.991895232859946</v>
      </c>
      <c r="F79">
        <f>Tableau13[[#This Row],[Limite de confiance inférieure]]/$B$16</f>
        <v>1.7911584867942734</v>
      </c>
      <c r="G79">
        <f t="shared" si="5"/>
        <v>2.1708852033100148</v>
      </c>
      <c r="H79">
        <f>Tableau13[[#This Row],[Prévision]]/$B$16</f>
        <v>2.5506119198257564</v>
      </c>
      <c r="I79">
        <f t="shared" si="6"/>
        <v>2.930338636341498</v>
      </c>
      <c r="J79">
        <f>Tableau13[[#This Row],[Limite de confiance supérieure]]/$B$16</f>
        <v>3.3100653528572397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4CAD-D361-42F5-AD45-00A51583A23D}">
  <dimension ref="A2:AV80"/>
  <sheetViews>
    <sheetView topLeftCell="AL21" zoomScale="130" zoomScaleNormal="130" workbookViewId="0">
      <selection activeCell="AV29" activeCellId="1" sqref="AU29:AU56 AV29:AV56"/>
    </sheetView>
  </sheetViews>
  <sheetFormatPr baseColWidth="10" defaultRowHeight="14.5" x14ac:dyDescent="0.35"/>
  <cols>
    <col min="1" max="1" width="24" bestFit="1" customWidth="1"/>
    <col min="2" max="2" width="13.1796875" bestFit="1" customWidth="1"/>
    <col min="3" max="3" width="16.6328125" bestFit="1" customWidth="1"/>
    <col min="6" max="6" width="13.453125" bestFit="1" customWidth="1"/>
    <col min="7" max="7" width="21.90625" bestFit="1" customWidth="1"/>
    <col min="8" max="8" width="23.81640625" bestFit="1" customWidth="1"/>
    <col min="10" max="10" width="14" bestFit="1" customWidth="1"/>
  </cols>
  <sheetData>
    <row r="2" spans="1:31" x14ac:dyDescent="0.35">
      <c r="A2" t="s">
        <v>36</v>
      </c>
      <c r="C2" t="s">
        <v>38</v>
      </c>
    </row>
    <row r="3" spans="1:31" x14ac:dyDescent="0.35">
      <c r="A3" t="s">
        <v>35</v>
      </c>
      <c r="B3">
        <v>280</v>
      </c>
      <c r="C3" t="s">
        <v>39</v>
      </c>
    </row>
    <row r="4" spans="1:31" x14ac:dyDescent="0.35">
      <c r="A4" t="s">
        <v>42</v>
      </c>
      <c r="B4">
        <v>25</v>
      </c>
      <c r="C4" t="s">
        <v>37</v>
      </c>
    </row>
    <row r="5" spans="1:31" x14ac:dyDescent="0.35">
      <c r="A5" t="s">
        <v>5</v>
      </c>
      <c r="B5">
        <v>3500</v>
      </c>
    </row>
    <row r="6" spans="1:31" x14ac:dyDescent="0.35">
      <c r="A6" t="s">
        <v>40</v>
      </c>
      <c r="B6">
        <f>B5/B4</f>
        <v>140</v>
      </c>
    </row>
    <row r="7" spans="1:31" x14ac:dyDescent="0.35">
      <c r="A7" t="s">
        <v>6</v>
      </c>
      <c r="B7">
        <v>20</v>
      </c>
    </row>
    <row r="8" spans="1:31" x14ac:dyDescent="0.35">
      <c r="A8" t="s">
        <v>34</v>
      </c>
      <c r="B8">
        <f>B7*12</f>
        <v>240</v>
      </c>
    </row>
    <row r="9" spans="1:31" x14ac:dyDescent="0.35">
      <c r="A9" t="s">
        <v>41</v>
      </c>
      <c r="B9" s="5">
        <v>0.1</v>
      </c>
      <c r="E9" s="1"/>
    </row>
    <row r="10" spans="1:31" x14ac:dyDescent="0.35">
      <c r="A10" t="s">
        <v>34</v>
      </c>
      <c r="B10">
        <f>B8-B8*B9</f>
        <v>216</v>
      </c>
      <c r="E10" s="1"/>
    </row>
    <row r="11" spans="1:31" x14ac:dyDescent="0.35">
      <c r="E11" s="1"/>
      <c r="F11" s="5"/>
      <c r="AE11" t="s">
        <v>43</v>
      </c>
    </row>
    <row r="14" spans="1:31" x14ac:dyDescent="0.35">
      <c r="G14" s="2"/>
    </row>
    <row r="15" spans="1:31" x14ac:dyDescent="0.35">
      <c r="B15" t="s">
        <v>0</v>
      </c>
      <c r="C15" t="s">
        <v>8</v>
      </c>
      <c r="D15" t="s">
        <v>2</v>
      </c>
      <c r="E15" t="s">
        <v>1</v>
      </c>
      <c r="F15" t="s">
        <v>3</v>
      </c>
      <c r="G15" t="s">
        <v>4</v>
      </c>
      <c r="S15" s="4">
        <v>2020</v>
      </c>
      <c r="T15">
        <f t="shared" ref="T15:T30" si="0">1.592*S15-3209.3</f>
        <v>6.5399999999999636</v>
      </c>
    </row>
    <row r="16" spans="1:31" x14ac:dyDescent="0.35">
      <c r="B16" s="4">
        <v>2020</v>
      </c>
      <c r="C16" s="8">
        <f>C43</f>
        <v>22.942222222222224</v>
      </c>
      <c r="D16" s="8">
        <f>C53</f>
        <v>8.5022222222222226</v>
      </c>
      <c r="E16" s="8">
        <f t="shared" ref="E16:E21" si="1">C16-D16</f>
        <v>14.440000000000001</v>
      </c>
      <c r="F16" s="3">
        <f>E16*10*$B$3/100</f>
        <v>404.32</v>
      </c>
      <c r="G16" s="3">
        <f>$B$10+$B$6</f>
        <v>356</v>
      </c>
      <c r="H16" s="3"/>
      <c r="S16" s="4">
        <v>2021</v>
      </c>
      <c r="T16">
        <f t="shared" si="0"/>
        <v>8.1320000000000618</v>
      </c>
    </row>
    <row r="17" spans="2:48" x14ac:dyDescent="0.35">
      <c r="B17" s="4">
        <v>2021</v>
      </c>
      <c r="C17" s="8">
        <f t="shared" ref="C17:C20" si="2">C44</f>
        <v>22.87444444444445</v>
      </c>
      <c r="D17" s="8">
        <f t="shared" ref="D17:D21" si="3">C54</f>
        <v>10.483333333333334</v>
      </c>
      <c r="E17" s="8">
        <f t="shared" si="1"/>
        <v>12.391111111111115</v>
      </c>
      <c r="F17" s="3">
        <f t="shared" ref="F17:F32" si="4">E17*10*$B$3/100</f>
        <v>346.95111111111123</v>
      </c>
      <c r="G17" s="3">
        <f t="shared" ref="G17:G34" si="5">$B$10+$B$6</f>
        <v>356</v>
      </c>
      <c r="H17" s="3"/>
      <c r="S17" s="4">
        <v>2022</v>
      </c>
      <c r="T17">
        <f t="shared" si="0"/>
        <v>9.7240000000001601</v>
      </c>
    </row>
    <row r="18" spans="2:48" x14ac:dyDescent="0.35">
      <c r="B18" s="4">
        <v>2022</v>
      </c>
      <c r="C18" s="8">
        <f>C45</f>
        <v>21.765000000000001</v>
      </c>
      <c r="D18" s="8">
        <f>C55</f>
        <v>9.1250000000000018</v>
      </c>
      <c r="E18" s="8">
        <f t="shared" si="1"/>
        <v>12.639999999999999</v>
      </c>
      <c r="F18" s="3">
        <f t="shared" si="4"/>
        <v>353.92</v>
      </c>
      <c r="G18" s="3">
        <f t="shared" si="5"/>
        <v>356</v>
      </c>
      <c r="H18" s="3"/>
      <c r="S18" s="4">
        <v>2023</v>
      </c>
      <c r="T18">
        <f t="shared" si="0"/>
        <v>11.315999999999804</v>
      </c>
    </row>
    <row r="19" spans="2:48" x14ac:dyDescent="0.35">
      <c r="B19" s="4">
        <v>2023</v>
      </c>
      <c r="C19" s="8">
        <f t="shared" si="2"/>
        <v>27.664444444444445</v>
      </c>
      <c r="D19" s="8">
        <f t="shared" si="3"/>
        <v>13.147777777777778</v>
      </c>
      <c r="E19" s="8">
        <f t="shared" si="1"/>
        <v>14.516666666666667</v>
      </c>
      <c r="F19" s="3">
        <f t="shared" si="4"/>
        <v>406.4666666666667</v>
      </c>
      <c r="G19" s="3">
        <f t="shared" si="5"/>
        <v>356</v>
      </c>
      <c r="H19" s="3"/>
      <c r="S19" s="4">
        <v>2024</v>
      </c>
      <c r="T19">
        <f t="shared" si="0"/>
        <v>12.907999999999902</v>
      </c>
    </row>
    <row r="20" spans="2:48" x14ac:dyDescent="0.35">
      <c r="B20" s="4">
        <v>2024</v>
      </c>
      <c r="C20" s="8">
        <f t="shared" si="2"/>
        <v>32.099999999999994</v>
      </c>
      <c r="D20" s="8">
        <f t="shared" si="3"/>
        <v>12.70777777777778</v>
      </c>
      <c r="E20" s="8">
        <f t="shared" si="1"/>
        <v>19.392222222222216</v>
      </c>
      <c r="F20" s="3">
        <f t="shared" si="4"/>
        <v>542.98222222222205</v>
      </c>
      <c r="G20" s="3">
        <f t="shared" si="5"/>
        <v>356</v>
      </c>
      <c r="H20" s="3"/>
      <c r="J20" t="s">
        <v>30</v>
      </c>
      <c r="K20" t="s">
        <v>31</v>
      </c>
      <c r="L20" t="s">
        <v>32</v>
      </c>
      <c r="S20" s="4">
        <v>2025</v>
      </c>
      <c r="T20">
        <f t="shared" si="0"/>
        <v>14.5</v>
      </c>
    </row>
    <row r="21" spans="2:48" x14ac:dyDescent="0.35">
      <c r="B21" s="4">
        <v>2025</v>
      </c>
      <c r="C21" s="8">
        <f>C48</f>
        <v>29.727777777777778</v>
      </c>
      <c r="D21" s="8">
        <f t="shared" si="3"/>
        <v>10.899999999999999</v>
      </c>
      <c r="E21" s="8">
        <f t="shared" si="1"/>
        <v>18.827777777777779</v>
      </c>
      <c r="F21" s="3">
        <f t="shared" si="4"/>
        <v>527.17777777777781</v>
      </c>
      <c r="G21" s="3">
        <f t="shared" si="5"/>
        <v>356</v>
      </c>
      <c r="H21" s="3">
        <f>F21-G21</f>
        <v>171.17777777777781</v>
      </c>
      <c r="K21" s="7">
        <f>N67</f>
        <v>20.019868320107143</v>
      </c>
      <c r="L21" s="7">
        <f>O67</f>
        <v>17.635687235448408</v>
      </c>
      <c r="M21" s="7"/>
      <c r="S21">
        <v>2026</v>
      </c>
      <c r="T21">
        <f t="shared" si="0"/>
        <v>16.092000000000098</v>
      </c>
    </row>
    <row r="22" spans="2:48" x14ac:dyDescent="0.35">
      <c r="B22">
        <v>2026</v>
      </c>
      <c r="C22" s="1">
        <f t="shared" ref="C22:C32" si="6">D22+E22</f>
        <v>26.849851851851327</v>
      </c>
      <c r="D22">
        <v>7</v>
      </c>
      <c r="E22" s="1">
        <f>B22*$B$38+$C$38</f>
        <v>19.849851851851327</v>
      </c>
      <c r="F22" s="3">
        <f t="shared" si="4"/>
        <v>555.79585185183714</v>
      </c>
      <c r="G22" s="3">
        <f t="shared" si="5"/>
        <v>356</v>
      </c>
      <c r="H22" s="3">
        <f t="shared" ref="H22:H32" si="7">F22-G22</f>
        <v>199.79585185183714</v>
      </c>
      <c r="J22">
        <v>1</v>
      </c>
      <c r="K22" s="7">
        <f t="shared" ref="K22" si="8">E22+J22</f>
        <v>20.849851851851327</v>
      </c>
      <c r="L22" s="7">
        <f t="shared" ref="L22" si="9">E22-J22</f>
        <v>18.849851851851327</v>
      </c>
      <c r="M22" s="7"/>
      <c r="S22">
        <v>2027</v>
      </c>
      <c r="T22">
        <f t="shared" si="0"/>
        <v>17.684000000000196</v>
      </c>
    </row>
    <row r="23" spans="2:48" x14ac:dyDescent="0.35">
      <c r="B23">
        <v>2027</v>
      </c>
      <c r="C23" s="1">
        <f t="shared" si="6"/>
        <v>28.130391534391038</v>
      </c>
      <c r="D23">
        <v>7</v>
      </c>
      <c r="E23" s="1">
        <f>B23*$B$38+$C$38</f>
        <v>21.130391534391038</v>
      </c>
      <c r="F23" s="3">
        <f t="shared" si="4"/>
        <v>591.65096296294905</v>
      </c>
      <c r="G23" s="3">
        <f t="shared" si="5"/>
        <v>356</v>
      </c>
      <c r="H23" s="3">
        <f t="shared" si="7"/>
        <v>235.65096296294905</v>
      </c>
      <c r="I23" s="16" t="s">
        <v>26</v>
      </c>
      <c r="J23">
        <v>1.2</v>
      </c>
      <c r="K23" s="7">
        <f t="shared" ref="K23:K32" si="10">E23+J23</f>
        <v>22.330391534391037</v>
      </c>
      <c r="L23" s="7">
        <f t="shared" ref="L23:L32" si="11">E23-J23</f>
        <v>19.930391534391038</v>
      </c>
      <c r="M23" s="7"/>
      <c r="S23">
        <v>2028</v>
      </c>
      <c r="T23">
        <f t="shared" si="0"/>
        <v>19.27599999999984</v>
      </c>
    </row>
    <row r="24" spans="2:48" x14ac:dyDescent="0.35">
      <c r="B24">
        <v>2028</v>
      </c>
      <c r="C24" s="1">
        <f t="shared" si="6"/>
        <v>28.410931216930749</v>
      </c>
      <c r="D24">
        <v>6</v>
      </c>
      <c r="E24" s="1">
        <f>B24*$B$38+$C$38</f>
        <v>22.410931216930749</v>
      </c>
      <c r="F24" s="3">
        <f t="shared" si="4"/>
        <v>627.50607407406096</v>
      </c>
      <c r="G24" s="3">
        <f t="shared" si="5"/>
        <v>356</v>
      </c>
      <c r="H24" s="3">
        <f t="shared" si="7"/>
        <v>271.50607407406096</v>
      </c>
      <c r="I24" s="16"/>
      <c r="J24">
        <v>1.8</v>
      </c>
      <c r="K24" s="7">
        <f t="shared" si="10"/>
        <v>24.210931216930749</v>
      </c>
      <c r="L24" s="7">
        <f t="shared" si="11"/>
        <v>20.610931216930748</v>
      </c>
      <c r="M24" s="7"/>
      <c r="S24">
        <v>2029</v>
      </c>
      <c r="T24">
        <f t="shared" si="0"/>
        <v>20.867999999999938</v>
      </c>
    </row>
    <row r="25" spans="2:48" x14ac:dyDescent="0.35">
      <c r="B25">
        <v>2029</v>
      </c>
      <c r="C25" s="1">
        <f t="shared" si="6"/>
        <v>29.69147089947046</v>
      </c>
      <c r="D25">
        <v>6</v>
      </c>
      <c r="E25" s="1">
        <f>B25*$B$38+$C$38</f>
        <v>23.69147089947046</v>
      </c>
      <c r="F25" s="3">
        <f t="shared" si="4"/>
        <v>663.36118518517299</v>
      </c>
      <c r="G25" s="3">
        <f t="shared" si="5"/>
        <v>356</v>
      </c>
      <c r="H25" s="3">
        <f t="shared" si="7"/>
        <v>307.36118518517299</v>
      </c>
      <c r="I25" s="16"/>
      <c r="J25">
        <v>2.4</v>
      </c>
      <c r="K25" s="7">
        <f t="shared" si="10"/>
        <v>26.091470899470458</v>
      </c>
      <c r="L25" s="7">
        <f t="shared" si="11"/>
        <v>21.291470899470461</v>
      </c>
      <c r="M25" s="7"/>
      <c r="S25">
        <v>2030</v>
      </c>
      <c r="T25">
        <f t="shared" si="0"/>
        <v>22.460000000000036</v>
      </c>
    </row>
    <row r="26" spans="2:48" x14ac:dyDescent="0.35">
      <c r="B26">
        <v>2030</v>
      </c>
      <c r="C26" s="1">
        <f t="shared" si="6"/>
        <v>31.091470899470458</v>
      </c>
      <c r="D26">
        <v>6</v>
      </c>
      <c r="E26" s="1">
        <f t="shared" ref="E26:E32" si="12">E25+I26</f>
        <v>25.091470899470458</v>
      </c>
      <c r="F26" s="3">
        <f t="shared" si="4"/>
        <v>702.56118518517292</v>
      </c>
      <c r="G26" s="3">
        <f t="shared" si="5"/>
        <v>356</v>
      </c>
      <c r="H26" s="3">
        <f t="shared" si="7"/>
        <v>346.56118518517292</v>
      </c>
      <c r="I26" s="1">
        <v>1.4</v>
      </c>
      <c r="J26">
        <v>3</v>
      </c>
      <c r="K26" s="7">
        <f t="shared" si="10"/>
        <v>28.091470899470458</v>
      </c>
      <c r="L26" s="7">
        <f t="shared" si="11"/>
        <v>22.091470899470458</v>
      </c>
      <c r="M26" s="7"/>
      <c r="S26">
        <v>2031</v>
      </c>
      <c r="T26">
        <f t="shared" si="0"/>
        <v>24.052000000000135</v>
      </c>
    </row>
    <row r="27" spans="2:48" x14ac:dyDescent="0.35">
      <c r="B27">
        <v>2031</v>
      </c>
      <c r="C27" s="1">
        <f t="shared" si="6"/>
        <v>32.291470899470454</v>
      </c>
      <c r="D27">
        <v>6</v>
      </c>
      <c r="E27" s="1">
        <f t="shared" si="12"/>
        <v>26.291470899470458</v>
      </c>
      <c r="F27" s="3">
        <f t="shared" si="4"/>
        <v>736.16118518517294</v>
      </c>
      <c r="G27" s="3">
        <f t="shared" si="5"/>
        <v>356</v>
      </c>
      <c r="H27" s="3">
        <f t="shared" si="7"/>
        <v>380.16118518517294</v>
      </c>
      <c r="I27" s="1">
        <v>1.2</v>
      </c>
      <c r="J27">
        <v>3.6</v>
      </c>
      <c r="K27" s="7">
        <f t="shared" si="10"/>
        <v>29.891470899470459</v>
      </c>
      <c r="L27" s="7">
        <f t="shared" si="11"/>
        <v>22.691470899470456</v>
      </c>
      <c r="M27" s="7"/>
      <c r="S27">
        <v>2032</v>
      </c>
      <c r="T27">
        <f t="shared" si="0"/>
        <v>25.643999999999778</v>
      </c>
    </row>
    <row r="28" spans="2:48" x14ac:dyDescent="0.35">
      <c r="B28">
        <v>2032</v>
      </c>
      <c r="C28" s="1">
        <f t="shared" si="6"/>
        <v>33.391470899470463</v>
      </c>
      <c r="D28">
        <v>6</v>
      </c>
      <c r="E28" s="1">
        <f t="shared" si="12"/>
        <v>27.391470899470459</v>
      </c>
      <c r="F28" s="3">
        <f t="shared" si="4"/>
        <v>766.96118518517289</v>
      </c>
      <c r="G28" s="3">
        <f t="shared" si="5"/>
        <v>356</v>
      </c>
      <c r="H28" s="3">
        <f t="shared" si="7"/>
        <v>410.96118518517289</v>
      </c>
      <c r="I28" s="1">
        <v>1.1000000000000001</v>
      </c>
      <c r="J28">
        <v>4.2</v>
      </c>
      <c r="K28" s="7">
        <f t="shared" si="10"/>
        <v>31.591470899470458</v>
      </c>
      <c r="L28" s="7">
        <f t="shared" si="11"/>
        <v>23.19147089947046</v>
      </c>
      <c r="M28" s="7"/>
      <c r="S28">
        <v>2033</v>
      </c>
      <c r="T28">
        <f t="shared" si="0"/>
        <v>27.235999999999876</v>
      </c>
      <c r="Z28" t="s">
        <v>44</v>
      </c>
      <c r="AA28" t="s">
        <v>45</v>
      </c>
      <c r="AB28" t="s">
        <v>46</v>
      </c>
      <c r="AC28" t="s">
        <v>47</v>
      </c>
    </row>
    <row r="29" spans="2:48" x14ac:dyDescent="0.35">
      <c r="B29">
        <v>2033</v>
      </c>
      <c r="C29" s="1">
        <f t="shared" si="6"/>
        <v>34.291470899470454</v>
      </c>
      <c r="D29">
        <v>6</v>
      </c>
      <c r="E29" s="1">
        <f t="shared" si="12"/>
        <v>28.291470899470458</v>
      </c>
      <c r="F29" s="3">
        <f t="shared" si="4"/>
        <v>792.16118518517294</v>
      </c>
      <c r="G29" s="3">
        <f t="shared" si="5"/>
        <v>356</v>
      </c>
      <c r="H29" s="3">
        <f t="shared" si="7"/>
        <v>436.16118518517294</v>
      </c>
      <c r="I29" s="1">
        <v>0.9</v>
      </c>
      <c r="J29">
        <v>4.8</v>
      </c>
      <c r="K29" s="7">
        <f t="shared" si="10"/>
        <v>33.091470899470458</v>
      </c>
      <c r="L29" s="7">
        <f t="shared" si="11"/>
        <v>23.491470899470457</v>
      </c>
      <c r="M29" s="7"/>
      <c r="S29">
        <v>2034</v>
      </c>
      <c r="T29">
        <f t="shared" si="0"/>
        <v>28.827999999999975</v>
      </c>
      <c r="Y29">
        <v>2025</v>
      </c>
      <c r="Z29">
        <f>2178.1*LN(Y29) - 16563</f>
        <v>19.583137937464926</v>
      </c>
      <c r="AA29">
        <f xml:space="preserve"> 1.0734965*Y29 - 2154.60965</f>
        <v>19.220762500000092</v>
      </c>
      <c r="AB29">
        <f>-0.0442057942*Y29^2 + 180.593227*Y29 - 184411.489</f>
        <v>18.410833624977386</v>
      </c>
      <c r="AC29" s="11">
        <f>0.00015*Y29^3 - 0.92*Y29^2 + 1860*Y29 - 1261000</f>
        <v>-21510.15625</v>
      </c>
      <c r="AN29" t="s">
        <v>48</v>
      </c>
      <c r="AO29" t="s">
        <v>49</v>
      </c>
      <c r="AP29" t="s">
        <v>50</v>
      </c>
      <c r="AQ29" t="s">
        <v>51</v>
      </c>
      <c r="AR29" t="s">
        <v>52</v>
      </c>
      <c r="AS29" t="s">
        <v>53</v>
      </c>
      <c r="AU29">
        <v>2011</v>
      </c>
      <c r="AV29">
        <v>19.91</v>
      </c>
    </row>
    <row r="30" spans="2:48" x14ac:dyDescent="0.35">
      <c r="B30">
        <v>2034</v>
      </c>
      <c r="C30" s="1">
        <f t="shared" si="6"/>
        <v>35.091470899470458</v>
      </c>
      <c r="D30">
        <v>6</v>
      </c>
      <c r="E30" s="1">
        <f t="shared" si="12"/>
        <v>29.091470899470458</v>
      </c>
      <c r="F30" s="3">
        <f t="shared" si="4"/>
        <v>814.56118518517292</v>
      </c>
      <c r="G30" s="3">
        <f t="shared" si="5"/>
        <v>356</v>
      </c>
      <c r="H30" s="3">
        <f t="shared" si="7"/>
        <v>458.56118518517292</v>
      </c>
      <c r="I30" s="1">
        <v>0.8</v>
      </c>
      <c r="J30">
        <v>5.4</v>
      </c>
      <c r="K30" s="7">
        <f t="shared" si="10"/>
        <v>34.491470899470457</v>
      </c>
      <c r="L30" s="7">
        <f t="shared" si="11"/>
        <v>23.69147089947046</v>
      </c>
      <c r="M30" s="7"/>
      <c r="S30">
        <v>2035</v>
      </c>
      <c r="T30">
        <f t="shared" si="0"/>
        <v>30.420000000000073</v>
      </c>
      <c r="Y30">
        <v>2026</v>
      </c>
      <c r="Z30">
        <f t="shared" ref="Z30:Z75" si="13">2178.1*LN(Y30) - 16563</f>
        <v>20.658477381672128</v>
      </c>
      <c r="AA30">
        <f t="shared" ref="AA30:AA60" si="14" xml:space="preserve"> 1.0734965*Y30 - 2154.60965</f>
        <v>20.294259000000238</v>
      </c>
      <c r="AB30">
        <f t="shared" ref="AB30:AB75" si="15">-0.0442057942*Y30^2 + 180.593227*Y30 - 184411.489</f>
        <v>19.926388320833212</v>
      </c>
      <c r="AN30">
        <f>B21</f>
        <v>2025</v>
      </c>
      <c r="AO30" s="7">
        <f>E21</f>
        <v>18.827777777777779</v>
      </c>
      <c r="AP30" s="11"/>
      <c r="AU30">
        <v>2012</v>
      </c>
      <c r="AV30">
        <v>19.899999999999999</v>
      </c>
    </row>
    <row r="31" spans="2:48" x14ac:dyDescent="0.35">
      <c r="B31">
        <v>2035</v>
      </c>
      <c r="C31" s="1">
        <f t="shared" si="6"/>
        <v>35.561470899470457</v>
      </c>
      <c r="D31">
        <v>6</v>
      </c>
      <c r="E31" s="1">
        <f t="shared" si="12"/>
        <v>29.561470899470457</v>
      </c>
      <c r="F31" s="3">
        <f t="shared" si="4"/>
        <v>827.72118518517277</v>
      </c>
      <c r="G31" s="3">
        <f t="shared" si="5"/>
        <v>356</v>
      </c>
      <c r="H31" s="3">
        <f t="shared" si="7"/>
        <v>471.72118518517277</v>
      </c>
      <c r="I31" s="1">
        <v>0.47</v>
      </c>
      <c r="J31">
        <v>6</v>
      </c>
      <c r="K31" s="7">
        <f t="shared" si="10"/>
        <v>35.561470899470457</v>
      </c>
      <c r="L31" s="7">
        <f t="shared" si="11"/>
        <v>23.561470899470457</v>
      </c>
      <c r="M31" s="7"/>
      <c r="S31">
        <v>2036</v>
      </c>
      <c r="T31">
        <f>1.592*S31-3209.3</f>
        <v>32.012000000000171</v>
      </c>
      <c r="Y31">
        <v>2027</v>
      </c>
      <c r="Z31">
        <f t="shared" si="13"/>
        <v>21.73328618710002</v>
      </c>
      <c r="AA31">
        <f t="shared" si="14"/>
        <v>21.367755500000385</v>
      </c>
      <c r="AB31">
        <f t="shared" si="15"/>
        <v>21.353531428205315</v>
      </c>
      <c r="AN31">
        <f t="shared" ref="AN31:AN32" si="16">B22</f>
        <v>2026</v>
      </c>
      <c r="AO31" s="7">
        <f t="shared" ref="AO31:AO32" si="17">E22</f>
        <v>19.849851851851327</v>
      </c>
      <c r="AU31">
        <v>2013</v>
      </c>
      <c r="AV31">
        <v>19.71</v>
      </c>
    </row>
    <row r="32" spans="2:48" x14ac:dyDescent="0.35">
      <c r="B32">
        <v>2036</v>
      </c>
      <c r="C32" s="1">
        <f t="shared" si="6"/>
        <v>35.911470899470459</v>
      </c>
      <c r="D32">
        <v>6</v>
      </c>
      <c r="E32" s="1">
        <f t="shared" si="12"/>
        <v>29.911470899470459</v>
      </c>
      <c r="F32" s="3">
        <f t="shared" si="4"/>
        <v>837.52118518517284</v>
      </c>
      <c r="G32" s="3">
        <f t="shared" si="5"/>
        <v>356</v>
      </c>
      <c r="H32" s="3">
        <f t="shared" si="7"/>
        <v>481.52118518517284</v>
      </c>
      <c r="I32" s="1">
        <v>0.35</v>
      </c>
      <c r="J32">
        <v>6.5</v>
      </c>
      <c r="K32" s="7">
        <f t="shared" si="10"/>
        <v>36.411470899470459</v>
      </c>
      <c r="L32" s="7">
        <f t="shared" si="11"/>
        <v>23.411470899470459</v>
      </c>
      <c r="M32" s="7"/>
      <c r="Y32">
        <v>2028</v>
      </c>
      <c r="Z32">
        <f t="shared" si="13"/>
        <v>22.80756487718827</v>
      </c>
      <c r="AA32">
        <f t="shared" si="14"/>
        <v>22.441252000000077</v>
      </c>
      <c r="AB32">
        <f t="shared" si="15"/>
        <v>22.692262947239215</v>
      </c>
      <c r="AN32">
        <f t="shared" si="16"/>
        <v>2027</v>
      </c>
      <c r="AO32" s="7">
        <f t="shared" si="17"/>
        <v>21.130391534391038</v>
      </c>
      <c r="AU32">
        <v>2014</v>
      </c>
      <c r="AV32">
        <v>19.96</v>
      </c>
    </row>
    <row r="33" spans="2:48" x14ac:dyDescent="0.35">
      <c r="B33">
        <v>2037</v>
      </c>
      <c r="C33" s="1">
        <f t="shared" ref="C33:C34" si="18">D33+E33</f>
        <v>36.098613756613318</v>
      </c>
      <c r="D33">
        <v>6</v>
      </c>
      <c r="E33" s="1">
        <f t="shared" ref="E33:E34" si="19">E32+I33</f>
        <v>30.098613756613315</v>
      </c>
      <c r="F33" s="3">
        <f t="shared" ref="F33:F34" si="20">E33*10*$B$3/100</f>
        <v>842.76118518517285</v>
      </c>
      <c r="G33" s="3">
        <f t="shared" si="5"/>
        <v>356</v>
      </c>
      <c r="H33" s="3">
        <f t="shared" ref="H33:H34" si="21">F33-G33</f>
        <v>486.76118518517285</v>
      </c>
      <c r="I33" s="1">
        <v>0.187142857142857</v>
      </c>
      <c r="K33" s="7"/>
      <c r="L33" s="7"/>
      <c r="M33" s="7"/>
      <c r="AO33" s="7"/>
      <c r="AU33">
        <v>2015</v>
      </c>
      <c r="AV33">
        <v>20.58</v>
      </c>
    </row>
    <row r="34" spans="2:48" x14ac:dyDescent="0.35">
      <c r="B34">
        <v>2038</v>
      </c>
      <c r="C34" s="1">
        <f t="shared" ref="C34" si="22">D34+E34</f>
        <v>37.110399470899033</v>
      </c>
      <c r="D34">
        <v>7</v>
      </c>
      <c r="E34" s="1">
        <f t="shared" ref="E34" si="23">E33+I34</f>
        <v>30.110399470899033</v>
      </c>
      <c r="F34" s="3">
        <f t="shared" ref="F34" si="24">E34*10*$B$3/100</f>
        <v>843.09118518517289</v>
      </c>
      <c r="G34" s="3">
        <f t="shared" si="5"/>
        <v>356</v>
      </c>
      <c r="H34" s="3">
        <f t="shared" ref="H34" si="25">F34-G34</f>
        <v>487.09118518517289</v>
      </c>
      <c r="I34" s="1">
        <v>1.1785714285717201E-2</v>
      </c>
      <c r="K34" s="7"/>
      <c r="L34" s="7"/>
      <c r="M34" s="7"/>
      <c r="AO34" s="7"/>
      <c r="AU34">
        <v>2016</v>
      </c>
      <c r="AV34">
        <v>20.64</v>
      </c>
    </row>
    <row r="35" spans="2:48" x14ac:dyDescent="0.35">
      <c r="C35" s="1"/>
      <c r="E35" s="1"/>
      <c r="F35" s="3"/>
      <c r="G35" s="3"/>
      <c r="H35" s="3"/>
      <c r="I35" s="1"/>
      <c r="K35" s="7"/>
      <c r="L35" s="7"/>
      <c r="M35" s="7"/>
      <c r="AO35" s="7"/>
      <c r="AU35">
        <v>2017</v>
      </c>
      <c r="AV35">
        <v>20.16</v>
      </c>
    </row>
    <row r="36" spans="2:48" x14ac:dyDescent="0.35">
      <c r="Y36">
        <v>2029</v>
      </c>
      <c r="Z36">
        <f t="shared" si="13"/>
        <v>23.881313974605291</v>
      </c>
      <c r="AA36">
        <f t="shared" si="14"/>
        <v>23.514748500000223</v>
      </c>
      <c r="AB36">
        <f t="shared" si="15"/>
        <v>23.942582877818495</v>
      </c>
      <c r="AN36">
        <f t="shared" ref="AN36:AN44" si="26">B24</f>
        <v>2028</v>
      </c>
      <c r="AO36" s="7">
        <f t="shared" ref="AO36:AO44" si="27">E24</f>
        <v>22.410931216930749</v>
      </c>
      <c r="AU36">
        <v>2018</v>
      </c>
      <c r="AV36">
        <v>21.01</v>
      </c>
    </row>
    <row r="37" spans="2:48" x14ac:dyDescent="0.35">
      <c r="B37" t="s">
        <v>7</v>
      </c>
      <c r="F37" s="6">
        <f>SUM(F22:F32)</f>
        <v>7915.96237037023</v>
      </c>
      <c r="G37" s="6">
        <f>SUM(G22:G32)</f>
        <v>3916</v>
      </c>
      <c r="H37" s="6">
        <f>SUM(H22:H32)</f>
        <v>3999.96237037023</v>
      </c>
      <c r="Y37">
        <v>2030</v>
      </c>
      <c r="Z37">
        <f t="shared" si="13"/>
        <v>24.954534001248248</v>
      </c>
      <c r="AA37">
        <f t="shared" si="14"/>
        <v>24.58824500000037</v>
      </c>
      <c r="AB37">
        <f t="shared" si="15"/>
        <v>25.10449121997226</v>
      </c>
      <c r="AN37">
        <f t="shared" si="26"/>
        <v>2029</v>
      </c>
      <c r="AO37" s="7">
        <f t="shared" si="27"/>
        <v>23.69147089947046</v>
      </c>
      <c r="AU37">
        <v>2019</v>
      </c>
      <c r="AV37">
        <v>20.54</v>
      </c>
    </row>
    <row r="38" spans="2:48" x14ac:dyDescent="0.35">
      <c r="B38" s="1" cm="1">
        <f t="array" ref="B38:C38">LINEST(E16:E21,B16:B21)</f>
        <v>1.2805396825396818</v>
      </c>
      <c r="C38" s="1">
        <v>-2574.5235449735437</v>
      </c>
      <c r="G38" s="10">
        <f>(G21/B3)/10</f>
        <v>0.12714285714285714</v>
      </c>
      <c r="H38" s="10"/>
      <c r="Y38">
        <v>2031</v>
      </c>
      <c r="Z38">
        <f t="shared" si="13"/>
        <v>26.027225478235778</v>
      </c>
      <c r="AA38">
        <f t="shared" si="14"/>
        <v>25.661741500000062</v>
      </c>
      <c r="AB38">
        <f t="shared" si="15"/>
        <v>26.177987973816926</v>
      </c>
      <c r="AN38">
        <f t="shared" si="26"/>
        <v>2030</v>
      </c>
      <c r="AO38" s="7">
        <f t="shared" si="27"/>
        <v>25.091470899470458</v>
      </c>
      <c r="AU38">
        <v>2020</v>
      </c>
      <c r="AV38">
        <v>20.71</v>
      </c>
    </row>
    <row r="39" spans="2:48" x14ac:dyDescent="0.35">
      <c r="Y39">
        <v>2032</v>
      </c>
      <c r="Z39">
        <f t="shared" si="13"/>
        <v>27.099388925926178</v>
      </c>
      <c r="AA39">
        <f t="shared" si="14"/>
        <v>26.735238000000209</v>
      </c>
      <c r="AB39">
        <f t="shared" si="15"/>
        <v>27.163073139206972</v>
      </c>
      <c r="AN39">
        <f t="shared" si="26"/>
        <v>2031</v>
      </c>
      <c r="AO39" s="7">
        <f t="shared" si="27"/>
        <v>26.291470899470458</v>
      </c>
      <c r="AU39">
        <v>2021</v>
      </c>
      <c r="AV39">
        <v>20.47</v>
      </c>
    </row>
    <row r="40" spans="2:48" x14ac:dyDescent="0.35">
      <c r="B40" s="15" t="s">
        <v>24</v>
      </c>
      <c r="C40" s="15"/>
      <c r="D40" s="15"/>
      <c r="E40" s="15"/>
      <c r="F40" s="15"/>
      <c r="G40" s="15"/>
      <c r="Y40">
        <v>2033</v>
      </c>
      <c r="Z40">
        <f t="shared" si="13"/>
        <v>28.171024863902858</v>
      </c>
      <c r="AA40">
        <f t="shared" si="14"/>
        <v>27.808734500000355</v>
      </c>
      <c r="AB40">
        <f t="shared" si="15"/>
        <v>28.059746716229711</v>
      </c>
      <c r="AN40">
        <f t="shared" si="26"/>
        <v>2032</v>
      </c>
      <c r="AO40" s="7">
        <f t="shared" si="27"/>
        <v>27.391470899470459</v>
      </c>
      <c r="AU40">
        <v>2022</v>
      </c>
      <c r="AV40">
        <v>21.16</v>
      </c>
    </row>
    <row r="41" spans="2:48" x14ac:dyDescent="0.35">
      <c r="B41" t="s">
        <v>10</v>
      </c>
      <c r="C41" s="9" t="s">
        <v>12</v>
      </c>
      <c r="Y41">
        <v>2034</v>
      </c>
      <c r="Z41">
        <f t="shared" si="13"/>
        <v>29.242133810985251</v>
      </c>
      <c r="AA41">
        <f t="shared" si="14"/>
        <v>28.882231000000502</v>
      </c>
      <c r="AB41">
        <f t="shared" si="15"/>
        <v>28.86800870479783</v>
      </c>
      <c r="AN41">
        <f t="shared" si="26"/>
        <v>2033</v>
      </c>
      <c r="AO41" s="7">
        <f t="shared" si="27"/>
        <v>28.291470899470458</v>
      </c>
      <c r="AU41">
        <v>2023</v>
      </c>
      <c r="AV41">
        <v>27.2</v>
      </c>
    </row>
    <row r="42" spans="2:48" x14ac:dyDescent="0.35">
      <c r="C42" t="s">
        <v>9</v>
      </c>
      <c r="D42" t="s">
        <v>15</v>
      </c>
      <c r="E42" t="s">
        <v>22</v>
      </c>
      <c r="F42" t="s">
        <v>16</v>
      </c>
      <c r="G42" t="s">
        <v>17</v>
      </c>
      <c r="H42" t="s">
        <v>18</v>
      </c>
      <c r="I42" t="s">
        <v>13</v>
      </c>
      <c r="J42" t="s">
        <v>19</v>
      </c>
      <c r="K42" t="s">
        <v>20</v>
      </c>
      <c r="L42" t="s">
        <v>21</v>
      </c>
      <c r="Y42">
        <v>2035</v>
      </c>
      <c r="Z42">
        <f t="shared" si="13"/>
        <v>30.312716285228817</v>
      </c>
      <c r="AA42">
        <f t="shared" si="14"/>
        <v>29.955727500000194</v>
      </c>
      <c r="AB42">
        <f t="shared" si="15"/>
        <v>29.587859105027746</v>
      </c>
      <c r="AN42">
        <f t="shared" si="26"/>
        <v>2034</v>
      </c>
      <c r="AO42" s="7">
        <f t="shared" si="27"/>
        <v>29.091470899470458</v>
      </c>
      <c r="AU42">
        <v>2024</v>
      </c>
      <c r="AV42">
        <v>32.08</v>
      </c>
    </row>
    <row r="43" spans="2:48" x14ac:dyDescent="0.35">
      <c r="B43">
        <v>2020</v>
      </c>
      <c r="C43" s="1">
        <f>AVERAGE(D43:M43)</f>
        <v>22.942222222222224</v>
      </c>
      <c r="D43" s="1">
        <v>18.190000000000001</v>
      </c>
      <c r="E43" s="1">
        <v>20.88</v>
      </c>
      <c r="F43" s="1">
        <v>20.48</v>
      </c>
      <c r="G43" s="1">
        <v>21.16</v>
      </c>
      <c r="H43" s="1">
        <v>22.76</v>
      </c>
      <c r="I43" s="1">
        <v>25.77</v>
      </c>
      <c r="J43" s="1">
        <v>26.24</v>
      </c>
      <c r="K43" s="1">
        <v>26.24</v>
      </c>
      <c r="L43" s="1">
        <v>24.76</v>
      </c>
      <c r="M43" s="1"/>
      <c r="Y43">
        <v>2036</v>
      </c>
      <c r="Z43">
        <f t="shared" si="13"/>
        <v>31.382772803925036</v>
      </c>
      <c r="AA43">
        <f t="shared" si="14"/>
        <v>31.02922400000034</v>
      </c>
      <c r="AB43">
        <f t="shared" si="15"/>
        <v>30.219297916803043</v>
      </c>
      <c r="AN43">
        <f t="shared" si="26"/>
        <v>2035</v>
      </c>
      <c r="AO43" s="7">
        <f t="shared" si="27"/>
        <v>29.561470899470457</v>
      </c>
      <c r="AU43">
        <v>2025</v>
      </c>
      <c r="AV43">
        <v>29</v>
      </c>
    </row>
    <row r="44" spans="2:48" x14ac:dyDescent="0.35">
      <c r="B44">
        <v>2021</v>
      </c>
      <c r="C44" s="1">
        <f t="shared" ref="C44:C48" si="28">AVERAGE(D44:M44)</f>
        <v>22.87444444444445</v>
      </c>
      <c r="D44" s="1">
        <v>17.95</v>
      </c>
      <c r="E44" s="1">
        <v>21.03</v>
      </c>
      <c r="F44" s="1">
        <v>20.18</v>
      </c>
      <c r="G44" s="1">
        <v>21.16</v>
      </c>
      <c r="H44" s="1">
        <v>22.76</v>
      </c>
      <c r="I44" s="1">
        <v>25.53</v>
      </c>
      <c r="J44" s="1">
        <v>26.24</v>
      </c>
      <c r="K44" s="1">
        <v>26.24</v>
      </c>
      <c r="L44" s="1">
        <v>24.78</v>
      </c>
      <c r="M44" s="1"/>
      <c r="Y44">
        <v>2037</v>
      </c>
      <c r="Z44">
        <f t="shared" si="13"/>
        <v>32.452303883605055</v>
      </c>
      <c r="AA44">
        <f t="shared" si="14"/>
        <v>32.102720500000487</v>
      </c>
      <c r="AB44">
        <f t="shared" si="15"/>
        <v>30.762325140181929</v>
      </c>
      <c r="AN44">
        <f t="shared" si="26"/>
        <v>2036</v>
      </c>
      <c r="AO44" s="7">
        <f t="shared" si="27"/>
        <v>29.911470899470459</v>
      </c>
      <c r="AU44">
        <v>2026</v>
      </c>
      <c r="AV44">
        <v>27.7</v>
      </c>
    </row>
    <row r="45" spans="2:48" x14ac:dyDescent="0.35">
      <c r="B45">
        <v>2022</v>
      </c>
      <c r="C45" s="1">
        <f t="shared" si="28"/>
        <v>21.765000000000001</v>
      </c>
      <c r="D45" s="1">
        <v>19.89</v>
      </c>
      <c r="E45" s="1">
        <v>21.21</v>
      </c>
      <c r="F45" s="1">
        <v>20.85</v>
      </c>
      <c r="G45" s="1">
        <v>21.16</v>
      </c>
      <c r="H45" s="1">
        <v>22.76</v>
      </c>
      <c r="I45" s="1"/>
      <c r="J45" s="1"/>
      <c r="K45" s="1"/>
      <c r="L45" s="1">
        <v>24.72</v>
      </c>
      <c r="M45" s="1"/>
      <c r="Y45">
        <v>2038</v>
      </c>
      <c r="Z45">
        <f t="shared" si="13"/>
        <v>33.521310040032404</v>
      </c>
      <c r="AA45">
        <f t="shared" si="14"/>
        <v>33.176217000000179</v>
      </c>
      <c r="AB45">
        <f t="shared" si="15"/>
        <v>31.216940775222611</v>
      </c>
      <c r="AU45">
        <v>2027</v>
      </c>
      <c r="AV45" s="7">
        <v>28.130391534391038</v>
      </c>
    </row>
    <row r="46" spans="2:48" x14ac:dyDescent="0.35">
      <c r="B46">
        <v>2023</v>
      </c>
      <c r="C46" s="1">
        <f t="shared" si="28"/>
        <v>27.664444444444445</v>
      </c>
      <c r="D46" s="1">
        <v>30.8</v>
      </c>
      <c r="E46" s="1">
        <v>32.26</v>
      </c>
      <c r="F46" s="1">
        <v>27.45</v>
      </c>
      <c r="G46" s="1">
        <v>25.35</v>
      </c>
      <c r="H46" s="1">
        <v>26.95</v>
      </c>
      <c r="I46" s="1">
        <v>25.93</v>
      </c>
      <c r="J46" s="1">
        <v>25.5</v>
      </c>
      <c r="K46" s="1">
        <v>25.5</v>
      </c>
      <c r="L46" s="1">
        <v>29.24</v>
      </c>
      <c r="M46" s="1"/>
      <c r="Y46">
        <v>2039</v>
      </c>
      <c r="Z46">
        <f t="shared" si="13"/>
        <v>34.589791788217553</v>
      </c>
      <c r="AA46">
        <f t="shared" si="14"/>
        <v>34.249713500000325</v>
      </c>
      <c r="AB46">
        <f t="shared" si="15"/>
        <v>31.583144821808673</v>
      </c>
      <c r="AU46">
        <v>2028</v>
      </c>
      <c r="AV46" s="7">
        <v>28.410931216930749</v>
      </c>
    </row>
    <row r="47" spans="2:48" x14ac:dyDescent="0.35">
      <c r="B47">
        <v>2024</v>
      </c>
      <c r="C47" s="1">
        <f t="shared" si="28"/>
        <v>32.099999999999994</v>
      </c>
      <c r="D47" s="1">
        <v>34.61</v>
      </c>
      <c r="E47" s="1">
        <v>32.549999999999997</v>
      </c>
      <c r="F47" s="1">
        <v>28.44</v>
      </c>
      <c r="G47" s="1">
        <v>32.4</v>
      </c>
      <c r="H47" s="1">
        <v>34</v>
      </c>
      <c r="I47" s="1">
        <v>31.45</v>
      </c>
      <c r="J47" s="1">
        <v>30.27</v>
      </c>
      <c r="K47" s="1">
        <v>30.27</v>
      </c>
      <c r="L47" s="1">
        <v>34.909999999999997</v>
      </c>
      <c r="M47" s="1"/>
      <c r="Y47">
        <v>2040</v>
      </c>
      <c r="Z47">
        <f t="shared" si="13"/>
        <v>35.657749642417912</v>
      </c>
      <c r="AA47">
        <f t="shared" si="14"/>
        <v>35.323210000000472</v>
      </c>
      <c r="AB47">
        <f t="shared" si="15"/>
        <v>31.860937280027429</v>
      </c>
      <c r="AU47">
        <v>2029</v>
      </c>
      <c r="AV47" s="7">
        <v>29.69147089947046</v>
      </c>
    </row>
    <row r="48" spans="2:48" x14ac:dyDescent="0.35">
      <c r="B48">
        <v>2025</v>
      </c>
      <c r="C48" s="1">
        <f t="shared" si="28"/>
        <v>29.727777777777778</v>
      </c>
      <c r="D48" s="1">
        <v>28.53</v>
      </c>
      <c r="E48" s="1">
        <v>30.36</v>
      </c>
      <c r="F48" s="1">
        <v>26.64</v>
      </c>
      <c r="G48" s="1">
        <v>28.9</v>
      </c>
      <c r="H48" s="1">
        <v>30.5</v>
      </c>
      <c r="I48" s="1">
        <v>30.98</v>
      </c>
      <c r="J48" s="1">
        <v>28.6</v>
      </c>
      <c r="K48" s="1">
        <v>29</v>
      </c>
      <c r="L48" s="1">
        <v>34.04</v>
      </c>
      <c r="M48" s="1"/>
      <c r="Y48">
        <v>2041</v>
      </c>
      <c r="Z48">
        <f t="shared" si="13"/>
        <v>36.725184116123273</v>
      </c>
      <c r="AA48">
        <f t="shared" si="14"/>
        <v>36.396706500000164</v>
      </c>
      <c r="AB48">
        <f t="shared" si="15"/>
        <v>32.050318149820669</v>
      </c>
      <c r="AU48">
        <v>2030</v>
      </c>
      <c r="AV48" s="7">
        <v>31.091470899470458</v>
      </c>
    </row>
    <row r="49" spans="2:48" x14ac:dyDescent="0.35">
      <c r="Y49">
        <v>2042</v>
      </c>
      <c r="Z49">
        <f t="shared" si="13"/>
        <v>37.792095722074009</v>
      </c>
      <c r="AA49">
        <f t="shared" si="14"/>
        <v>37.470203000000311</v>
      </c>
      <c r="AB49">
        <f t="shared" si="15"/>
        <v>32.151287431188393</v>
      </c>
      <c r="AU49">
        <v>2031</v>
      </c>
      <c r="AV49" s="7">
        <v>32.291470899470454</v>
      </c>
    </row>
    <row r="50" spans="2:48" x14ac:dyDescent="0.35">
      <c r="B50" s="15" t="s">
        <v>23</v>
      </c>
      <c r="C50" s="15"/>
      <c r="D50" s="15"/>
      <c r="E50" s="15"/>
      <c r="F50" s="15"/>
      <c r="G50" s="15"/>
      <c r="Y50">
        <v>2043</v>
      </c>
      <c r="Z50">
        <f t="shared" si="13"/>
        <v>38.858484972261067</v>
      </c>
      <c r="AA50">
        <f t="shared" si="14"/>
        <v>38.543699500000457</v>
      </c>
      <c r="AB50">
        <f t="shared" si="15"/>
        <v>32.163845124217914</v>
      </c>
      <c r="AU50">
        <v>2032</v>
      </c>
      <c r="AV50" s="7">
        <v>33.391470899470463</v>
      </c>
    </row>
    <row r="51" spans="2:48" x14ac:dyDescent="0.35">
      <c r="B51" t="s">
        <v>10</v>
      </c>
      <c r="C51" s="9" t="s">
        <v>11</v>
      </c>
      <c r="F51" t="s">
        <v>14</v>
      </c>
      <c r="Y51">
        <v>2044</v>
      </c>
      <c r="Z51">
        <f t="shared" si="13"/>
        <v>39.924352377922332</v>
      </c>
      <c r="AA51">
        <f t="shared" si="14"/>
        <v>39.617196000000149</v>
      </c>
      <c r="AB51">
        <f t="shared" si="15"/>
        <v>32.087991228792816</v>
      </c>
      <c r="AU51">
        <v>2033</v>
      </c>
      <c r="AV51" s="7">
        <v>34.291470899470454</v>
      </c>
    </row>
    <row r="52" spans="2:48" x14ac:dyDescent="0.35">
      <c r="C52" t="s">
        <v>9</v>
      </c>
      <c r="D52" t="s">
        <v>15</v>
      </c>
      <c r="E52" t="s">
        <v>22</v>
      </c>
      <c r="F52" t="s">
        <v>16</v>
      </c>
      <c r="G52" t="s">
        <v>17</v>
      </c>
      <c r="H52" t="s">
        <v>18</v>
      </c>
      <c r="I52" t="s">
        <v>13</v>
      </c>
      <c r="J52" t="s">
        <v>19</v>
      </c>
      <c r="K52" t="s">
        <v>20</v>
      </c>
      <c r="L52" t="s">
        <v>21</v>
      </c>
      <c r="Y52">
        <v>2045</v>
      </c>
      <c r="Z52">
        <f t="shared" si="13"/>
        <v>40.989698449538992</v>
      </c>
      <c r="AA52">
        <f t="shared" si="14"/>
        <v>40.690692500000296</v>
      </c>
      <c r="AB52">
        <f t="shared" si="15"/>
        <v>31.923725745029515</v>
      </c>
      <c r="AU52">
        <v>2034</v>
      </c>
      <c r="AV52" s="7">
        <v>35.091470899470458</v>
      </c>
    </row>
    <row r="53" spans="2:48" x14ac:dyDescent="0.35">
      <c r="B53">
        <v>2020</v>
      </c>
      <c r="C53" s="1">
        <f t="shared" ref="C53:C58" si="29">AVERAGE(D53:M53)</f>
        <v>8.5022222222222226</v>
      </c>
      <c r="D53" s="1">
        <v>8.1999999999999993</v>
      </c>
      <c r="E53" s="1">
        <f>6.19+1.97</f>
        <v>8.16</v>
      </c>
      <c r="F53" s="1">
        <v>7.7</v>
      </c>
      <c r="G53" s="1">
        <f t="shared" ref="G53:H55" si="30">2+7.3</f>
        <v>9.3000000000000007</v>
      </c>
      <c r="H53" s="1">
        <f t="shared" si="30"/>
        <v>9.3000000000000007</v>
      </c>
      <c r="I53" s="1">
        <f>4.5+5</f>
        <v>9.5</v>
      </c>
      <c r="J53" s="1">
        <f>4.5+3.18</f>
        <v>7.68</v>
      </c>
      <c r="K53" s="1">
        <f>4.5+3.18</f>
        <v>7.68</v>
      </c>
      <c r="L53" s="1">
        <f>3+6</f>
        <v>9</v>
      </c>
      <c r="M53" s="1"/>
      <c r="Y53">
        <v>2046</v>
      </c>
      <c r="Z53">
        <f t="shared" si="13"/>
        <v>42.054523696853721</v>
      </c>
      <c r="AA53">
        <f t="shared" si="14"/>
        <v>41.764189000000442</v>
      </c>
      <c r="AB53">
        <f t="shared" si="15"/>
        <v>31.671048672811594</v>
      </c>
      <c r="AU53">
        <v>2035</v>
      </c>
      <c r="AV53" s="7">
        <v>35.561470899470457</v>
      </c>
    </row>
    <row r="54" spans="2:48" x14ac:dyDescent="0.35">
      <c r="B54">
        <v>2021</v>
      </c>
      <c r="C54" s="1">
        <f t="shared" si="29"/>
        <v>10.483333333333334</v>
      </c>
      <c r="D54" s="1">
        <v>7.3</v>
      </c>
      <c r="E54" s="1">
        <f>2.12+6.04</f>
        <v>8.16</v>
      </c>
      <c r="F54" s="1">
        <f>1.5+7.7</f>
        <v>9.1999999999999993</v>
      </c>
      <c r="G54" s="1">
        <f t="shared" si="30"/>
        <v>9.3000000000000007</v>
      </c>
      <c r="H54" s="1">
        <f t="shared" si="30"/>
        <v>9.3000000000000007</v>
      </c>
      <c r="I54" s="1">
        <f>4.5+9.53</f>
        <v>14.03</v>
      </c>
      <c r="J54" s="1">
        <f>4.5+9.53</f>
        <v>14.03</v>
      </c>
      <c r="K54" s="1">
        <f>4.5+9.53</f>
        <v>14.03</v>
      </c>
      <c r="L54" s="1">
        <f>3+6</f>
        <v>9</v>
      </c>
      <c r="M54" s="1"/>
      <c r="Y54">
        <v>2047</v>
      </c>
      <c r="Z54">
        <f t="shared" si="13"/>
        <v>43.118828628852498</v>
      </c>
      <c r="AA54">
        <f t="shared" si="14"/>
        <v>42.837685500000134</v>
      </c>
      <c r="AB54">
        <f t="shared" si="15"/>
        <v>31.329960012226366</v>
      </c>
      <c r="AU54">
        <v>2036</v>
      </c>
      <c r="AV54" s="7">
        <v>35.911470899470459</v>
      </c>
    </row>
    <row r="55" spans="2:48" x14ac:dyDescent="0.35">
      <c r="B55">
        <v>2022</v>
      </c>
      <c r="C55" s="1">
        <f t="shared" si="29"/>
        <v>9.1250000000000018</v>
      </c>
      <c r="D55" s="1">
        <v>8.3000000000000007</v>
      </c>
      <c r="E55" s="1">
        <f>3.1+6.4</f>
        <v>9.5</v>
      </c>
      <c r="F55" s="1">
        <f>1.5+7.5</f>
        <v>9</v>
      </c>
      <c r="G55" s="1">
        <f t="shared" si="30"/>
        <v>9.3000000000000007</v>
      </c>
      <c r="H55" s="1">
        <f t="shared" si="30"/>
        <v>9.3000000000000007</v>
      </c>
      <c r="I55" s="1"/>
      <c r="J55" s="1"/>
      <c r="K55" s="1"/>
      <c r="L55" s="1">
        <f>3+6.35</f>
        <v>9.35</v>
      </c>
      <c r="M55" s="1"/>
      <c r="Y55">
        <v>2048</v>
      </c>
      <c r="Z55">
        <f t="shared" si="13"/>
        <v>44.182613753786427</v>
      </c>
      <c r="AA55">
        <f t="shared" si="14"/>
        <v>43.911182000000281</v>
      </c>
      <c r="AB55">
        <f t="shared" si="15"/>
        <v>30.900459763215622</v>
      </c>
      <c r="AU55">
        <v>2037</v>
      </c>
      <c r="AV55" s="7">
        <v>36.098613756613318</v>
      </c>
    </row>
    <row r="56" spans="2:48" x14ac:dyDescent="0.35">
      <c r="B56">
        <v>2023</v>
      </c>
      <c r="C56" s="1">
        <f t="shared" si="29"/>
        <v>13.147777777777778</v>
      </c>
      <c r="D56" s="1">
        <v>16.45</v>
      </c>
      <c r="E56" s="1">
        <f>0.3+18.3</f>
        <v>18.600000000000001</v>
      </c>
      <c r="F56" s="1">
        <f>1.5+12.8</f>
        <v>14.3</v>
      </c>
      <c r="G56" s="1">
        <f>3+11.45</f>
        <v>14.45</v>
      </c>
      <c r="H56" s="1">
        <f>3+11.45</f>
        <v>14.45</v>
      </c>
      <c r="I56" s="1">
        <f>1+8.36</f>
        <v>9.36</v>
      </c>
      <c r="J56" s="1">
        <f>1+8.36</f>
        <v>9.36</v>
      </c>
      <c r="K56" s="1">
        <f>1+8.36</f>
        <v>9.36</v>
      </c>
      <c r="L56" s="1">
        <f>3+9</f>
        <v>12</v>
      </c>
      <c r="M56" s="1"/>
      <c r="Y56">
        <v>2049</v>
      </c>
      <c r="Z56">
        <f t="shared" si="13"/>
        <v>45.245879579146276</v>
      </c>
      <c r="AA56">
        <f t="shared" si="14"/>
        <v>44.984678500000427</v>
      </c>
      <c r="AB56">
        <f t="shared" si="15"/>
        <v>30.382547925779363</v>
      </c>
      <c r="AU56">
        <v>2038</v>
      </c>
      <c r="AV56" s="7">
        <v>37.110399470899033</v>
      </c>
    </row>
    <row r="57" spans="2:48" x14ac:dyDescent="0.35">
      <c r="B57">
        <v>2024</v>
      </c>
      <c r="C57" s="1">
        <f t="shared" si="29"/>
        <v>12.70777777777778</v>
      </c>
      <c r="D57" s="1">
        <v>18.2</v>
      </c>
      <c r="E57" s="1">
        <f>0.8+16.8</f>
        <v>17.600000000000001</v>
      </c>
      <c r="F57" s="1">
        <f>1.5+12.8</f>
        <v>14.3</v>
      </c>
      <c r="G57" s="1">
        <f>3+11.45</f>
        <v>14.45</v>
      </c>
      <c r="H57" s="1">
        <f>3+11.45</f>
        <v>14.45</v>
      </c>
      <c r="I57" s="1">
        <f>2.25+4.54</f>
        <v>6.79</v>
      </c>
      <c r="J57" s="1">
        <f>2.25+4.54</f>
        <v>6.79</v>
      </c>
      <c r="K57" s="1">
        <f>2.25+4.54</f>
        <v>6.79</v>
      </c>
      <c r="L57" s="1">
        <f>2+13</f>
        <v>15</v>
      </c>
      <c r="M57" s="1"/>
      <c r="Y57">
        <v>2050</v>
      </c>
      <c r="Z57">
        <f t="shared" si="13"/>
        <v>46.308626611695217</v>
      </c>
      <c r="AA57">
        <f t="shared" si="14"/>
        <v>46.058175000000119</v>
      </c>
      <c r="AB57">
        <f t="shared" si="15"/>
        <v>29.776224500034004</v>
      </c>
    </row>
    <row r="58" spans="2:48" x14ac:dyDescent="0.35">
      <c r="B58">
        <v>2025</v>
      </c>
      <c r="C58" s="1">
        <f t="shared" si="29"/>
        <v>10.899999999999999</v>
      </c>
      <c r="D58" s="1">
        <v>11.2</v>
      </c>
      <c r="E58" s="1">
        <f>0.5+8.75</f>
        <v>9.25</v>
      </c>
      <c r="F58" s="1">
        <v>12.6</v>
      </c>
      <c r="G58" s="1">
        <f>4+6.91</f>
        <v>10.91</v>
      </c>
      <c r="H58" s="1">
        <f>4+6.91</f>
        <v>10.91</v>
      </c>
      <c r="I58" s="1">
        <f>3.5+6.91</f>
        <v>10.41</v>
      </c>
      <c r="J58" s="1">
        <f>3.5+6.91</f>
        <v>10.41</v>
      </c>
      <c r="K58" s="1">
        <f>3.5+6.91</f>
        <v>10.41</v>
      </c>
      <c r="L58" s="1">
        <f>2+10</f>
        <v>12</v>
      </c>
      <c r="M58" s="1"/>
      <c r="Y58">
        <v>2051</v>
      </c>
      <c r="Z58">
        <f t="shared" si="13"/>
        <v>47.370855357450637</v>
      </c>
      <c r="AA58">
        <f t="shared" si="14"/>
        <v>47.131671500000266</v>
      </c>
      <c r="AB58">
        <f t="shared" si="15"/>
        <v>29.081489485804923</v>
      </c>
    </row>
    <row r="59" spans="2:48" x14ac:dyDescent="0.35">
      <c r="E59" s="1"/>
      <c r="Y59">
        <v>2052</v>
      </c>
      <c r="Z59">
        <f t="shared" si="13"/>
        <v>48.432566321687773</v>
      </c>
      <c r="AA59">
        <f t="shared" si="14"/>
        <v>48.205168000000413</v>
      </c>
      <c r="AB59">
        <f t="shared" si="15"/>
        <v>28.298342883237638</v>
      </c>
    </row>
    <row r="60" spans="2:48" x14ac:dyDescent="0.35">
      <c r="B60" s="15" t="s">
        <v>25</v>
      </c>
      <c r="C60" s="15"/>
      <c r="D60" s="15"/>
      <c r="E60" s="15"/>
      <c r="F60" s="15"/>
      <c r="G60" s="15"/>
      <c r="Y60">
        <v>2053</v>
      </c>
      <c r="Z60">
        <f t="shared" si="13"/>
        <v>49.493760008939716</v>
      </c>
      <c r="AA60">
        <f t="shared" si="14"/>
        <v>49.278664500000104</v>
      </c>
      <c r="AB60">
        <f t="shared" si="15"/>
        <v>27.426784692215733</v>
      </c>
    </row>
    <row r="61" spans="2:48" x14ac:dyDescent="0.35">
      <c r="C61" t="s">
        <v>9</v>
      </c>
      <c r="D61" t="s">
        <v>15</v>
      </c>
      <c r="E61" t="s">
        <v>22</v>
      </c>
      <c r="F61" t="s">
        <v>16</v>
      </c>
      <c r="G61" t="s">
        <v>17</v>
      </c>
      <c r="H61" t="s">
        <v>18</v>
      </c>
      <c r="I61" t="s">
        <v>13</v>
      </c>
      <c r="J61" t="s">
        <v>19</v>
      </c>
      <c r="K61" t="s">
        <v>20</v>
      </c>
      <c r="L61" t="s">
        <v>21</v>
      </c>
      <c r="N61" t="s">
        <v>29</v>
      </c>
      <c r="O61" t="s">
        <v>27</v>
      </c>
      <c r="Y61">
        <v>2054</v>
      </c>
      <c r="Z61">
        <f t="shared" si="13"/>
        <v>50.554436923008325</v>
      </c>
      <c r="AA61">
        <f xml:space="preserve"> 1.0734965*Y61 - 2154.60965</f>
        <v>50.352161000000251</v>
      </c>
      <c r="AB61">
        <f t="shared" si="15"/>
        <v>26.466814912855625</v>
      </c>
    </row>
    <row r="62" spans="2:48" x14ac:dyDescent="0.35">
      <c r="B62">
        <v>2020</v>
      </c>
      <c r="C62" s="1">
        <f>AVERAGE(D62:L62)</f>
        <v>14.440000000000001</v>
      </c>
      <c r="D62" s="1">
        <f>D43-D53</f>
        <v>9.990000000000002</v>
      </c>
      <c r="E62" s="1">
        <f t="shared" ref="E62:L62" si="31">E43-E53</f>
        <v>12.719999999999999</v>
      </c>
      <c r="F62" s="1">
        <f t="shared" si="31"/>
        <v>12.780000000000001</v>
      </c>
      <c r="G62" s="1">
        <f t="shared" si="31"/>
        <v>11.86</v>
      </c>
      <c r="H62" s="1">
        <f t="shared" si="31"/>
        <v>13.46</v>
      </c>
      <c r="I62" s="1">
        <f t="shared" si="31"/>
        <v>16.27</v>
      </c>
      <c r="J62" s="1">
        <f t="shared" si="31"/>
        <v>18.559999999999999</v>
      </c>
      <c r="K62" s="1">
        <f t="shared" si="31"/>
        <v>18.559999999999999</v>
      </c>
      <c r="L62" s="1">
        <f t="shared" si="31"/>
        <v>15.760000000000002</v>
      </c>
      <c r="M62" s="1"/>
      <c r="N62" s="1">
        <f t="shared" ref="N62:N67" si="32">C62+(C70/2)</f>
        <v>15.941805163794559</v>
      </c>
      <c r="O62" s="1">
        <f t="shared" ref="O62:O67" si="33">C62-(C70/2)</f>
        <v>12.938194836205444</v>
      </c>
      <c r="Y62">
        <v>2055</v>
      </c>
      <c r="Z62">
        <f t="shared" si="13"/>
        <v>51.614597566960583</v>
      </c>
      <c r="AA62">
        <f t="shared" ref="AA62:AA75" si="34" xml:space="preserve"> 1.0734965*Y62 - 2154.60965</f>
        <v>51.425657500000398</v>
      </c>
      <c r="AB62">
        <f t="shared" si="15"/>
        <v>25.418433545011794</v>
      </c>
    </row>
    <row r="63" spans="2:48" x14ac:dyDescent="0.35">
      <c r="B63">
        <v>2021</v>
      </c>
      <c r="C63" s="1">
        <f t="shared" ref="C63:C67" si="35">AVERAGE(D63:L63)</f>
        <v>12.39111111111111</v>
      </c>
      <c r="D63" s="1">
        <f t="shared" ref="D63:L63" si="36">D44-D54</f>
        <v>10.649999999999999</v>
      </c>
      <c r="E63" s="1">
        <f t="shared" si="36"/>
        <v>12.870000000000001</v>
      </c>
      <c r="F63" s="1">
        <f t="shared" si="36"/>
        <v>10.98</v>
      </c>
      <c r="G63" s="1">
        <f t="shared" si="36"/>
        <v>11.86</v>
      </c>
      <c r="H63" s="1">
        <f t="shared" si="36"/>
        <v>13.46</v>
      </c>
      <c r="I63" s="1">
        <f t="shared" si="36"/>
        <v>11.500000000000002</v>
      </c>
      <c r="J63" s="1">
        <f t="shared" si="36"/>
        <v>12.209999999999999</v>
      </c>
      <c r="K63" s="1">
        <f t="shared" si="36"/>
        <v>12.209999999999999</v>
      </c>
      <c r="L63" s="1">
        <f t="shared" si="36"/>
        <v>15.780000000000001</v>
      </c>
      <c r="M63" s="1"/>
      <c r="N63" s="1">
        <f t="shared" si="32"/>
        <v>13.162086323279297</v>
      </c>
      <c r="O63" s="1">
        <f t="shared" si="33"/>
        <v>11.620135898942923</v>
      </c>
      <c r="Y63">
        <v>2056</v>
      </c>
      <c r="Z63">
        <f t="shared" si="13"/>
        <v>52.674242443128605</v>
      </c>
      <c r="AA63">
        <f t="shared" si="34"/>
        <v>52.49915400000009</v>
      </c>
      <c r="AB63">
        <f t="shared" si="15"/>
        <v>24.281640588800656</v>
      </c>
    </row>
    <row r="64" spans="2:48" x14ac:dyDescent="0.35">
      <c r="B64">
        <v>2022</v>
      </c>
      <c r="C64" s="1">
        <f>AVERAGE(D64:M64)</f>
        <v>12.64</v>
      </c>
      <c r="D64" s="1">
        <f t="shared" ref="D64:L64" si="37">D45-D55</f>
        <v>11.59</v>
      </c>
      <c r="E64" s="1">
        <f t="shared" si="37"/>
        <v>11.71</v>
      </c>
      <c r="F64" s="1">
        <f t="shared" si="37"/>
        <v>11.850000000000001</v>
      </c>
      <c r="G64" s="1">
        <f t="shared" si="37"/>
        <v>11.86</v>
      </c>
      <c r="H64" s="1">
        <f t="shared" si="37"/>
        <v>13.46</v>
      </c>
      <c r="I64" s="1"/>
      <c r="J64" s="1"/>
      <c r="K64" s="1"/>
      <c r="L64" s="1">
        <f t="shared" si="37"/>
        <v>15.37</v>
      </c>
      <c r="M64" s="1"/>
      <c r="N64" s="1">
        <f t="shared" si="32"/>
        <v>13.392502491690227</v>
      </c>
      <c r="O64" s="1">
        <f t="shared" si="33"/>
        <v>11.887497508309774</v>
      </c>
      <c r="Y64">
        <v>2057</v>
      </c>
      <c r="Z64">
        <f t="shared" si="13"/>
        <v>53.733372053105995</v>
      </c>
      <c r="AA64">
        <f t="shared" si="34"/>
        <v>53.572650500000236</v>
      </c>
      <c r="AB64">
        <f t="shared" si="15"/>
        <v>23.05643604422221</v>
      </c>
    </row>
    <row r="65" spans="2:28" x14ac:dyDescent="0.35">
      <c r="B65">
        <v>2023</v>
      </c>
      <c r="C65" s="1">
        <f t="shared" si="35"/>
        <v>14.516666666666667</v>
      </c>
      <c r="D65" s="1">
        <f t="shared" ref="D65:L65" si="38">D46-D56</f>
        <v>14.350000000000001</v>
      </c>
      <c r="E65" s="1">
        <f t="shared" si="38"/>
        <v>13.659999999999997</v>
      </c>
      <c r="F65" s="1">
        <f t="shared" si="38"/>
        <v>13.149999999999999</v>
      </c>
      <c r="G65" s="1">
        <f t="shared" si="38"/>
        <v>10.900000000000002</v>
      </c>
      <c r="H65" s="1">
        <f t="shared" si="38"/>
        <v>12.5</v>
      </c>
      <c r="I65" s="1">
        <f t="shared" si="38"/>
        <v>16.57</v>
      </c>
      <c r="J65" s="1">
        <f t="shared" si="38"/>
        <v>16.14</v>
      </c>
      <c r="K65" s="1">
        <f t="shared" si="38"/>
        <v>16.14</v>
      </c>
      <c r="L65" s="1">
        <f t="shared" si="38"/>
        <v>17.239999999999998</v>
      </c>
      <c r="M65" s="1"/>
      <c r="N65" s="1">
        <f t="shared" si="32"/>
        <v>15.587294403090493</v>
      </c>
      <c r="O65" s="1">
        <f t="shared" si="33"/>
        <v>13.446038930242842</v>
      </c>
      <c r="Y65">
        <v>2058</v>
      </c>
      <c r="Z65">
        <f t="shared" si="13"/>
        <v>54.791986897758761</v>
      </c>
      <c r="AA65">
        <f t="shared" si="34"/>
        <v>54.646147000000383</v>
      </c>
      <c r="AB65">
        <f t="shared" si="15"/>
        <v>21.742819911218248</v>
      </c>
    </row>
    <row r="66" spans="2:28" x14ac:dyDescent="0.35">
      <c r="B66">
        <v>2024</v>
      </c>
      <c r="C66" s="1">
        <f t="shared" si="35"/>
        <v>19.39222222222222</v>
      </c>
      <c r="D66" s="1">
        <f t="shared" ref="D66:L66" si="39">D47-D57</f>
        <v>16.41</v>
      </c>
      <c r="E66" s="1">
        <f t="shared" si="39"/>
        <v>14.949999999999996</v>
      </c>
      <c r="F66" s="1">
        <f t="shared" si="39"/>
        <v>14.14</v>
      </c>
      <c r="G66" s="1">
        <f t="shared" si="39"/>
        <v>17.95</v>
      </c>
      <c r="H66" s="1">
        <f t="shared" si="39"/>
        <v>19.55</v>
      </c>
      <c r="I66" s="1">
        <f t="shared" si="39"/>
        <v>24.66</v>
      </c>
      <c r="J66" s="1">
        <f t="shared" si="39"/>
        <v>23.48</v>
      </c>
      <c r="K66" s="1">
        <f t="shared" si="39"/>
        <v>23.48</v>
      </c>
      <c r="L66" s="1">
        <f t="shared" si="39"/>
        <v>19.909999999999997</v>
      </c>
      <c r="M66" s="1"/>
      <c r="N66" s="1">
        <f t="shared" si="32"/>
        <v>21.326737306451637</v>
      </c>
      <c r="O66" s="1">
        <f t="shared" si="33"/>
        <v>17.457707137992802</v>
      </c>
      <c r="Y66">
        <v>2059</v>
      </c>
      <c r="Z66">
        <f t="shared" si="13"/>
        <v>55.850087477225316</v>
      </c>
      <c r="AA66">
        <f t="shared" si="34"/>
        <v>55.719643500000075</v>
      </c>
      <c r="AB66">
        <f t="shared" si="15"/>
        <v>20.340792189846979</v>
      </c>
    </row>
    <row r="67" spans="2:28" x14ac:dyDescent="0.35">
      <c r="B67">
        <v>2025</v>
      </c>
      <c r="C67" s="1">
        <f t="shared" si="35"/>
        <v>18.827777777777776</v>
      </c>
      <c r="D67" s="1">
        <f t="shared" ref="D67:L67" si="40">D48-D58</f>
        <v>17.330000000000002</v>
      </c>
      <c r="E67" s="1">
        <f t="shared" si="40"/>
        <v>21.11</v>
      </c>
      <c r="F67" s="1">
        <f t="shared" si="40"/>
        <v>14.040000000000001</v>
      </c>
      <c r="G67" s="1">
        <f t="shared" si="40"/>
        <v>17.989999999999998</v>
      </c>
      <c r="H67" s="1">
        <f t="shared" si="40"/>
        <v>19.59</v>
      </c>
      <c r="I67" s="1">
        <f t="shared" si="40"/>
        <v>20.57</v>
      </c>
      <c r="J67" s="1">
        <f t="shared" si="40"/>
        <v>18.190000000000001</v>
      </c>
      <c r="K67" s="1">
        <f t="shared" si="40"/>
        <v>18.59</v>
      </c>
      <c r="L67" s="1">
        <f t="shared" si="40"/>
        <v>22.04</v>
      </c>
      <c r="M67" s="1"/>
      <c r="N67" s="1">
        <f t="shared" si="32"/>
        <v>20.019868320107143</v>
      </c>
      <c r="O67" s="1">
        <f t="shared" si="33"/>
        <v>17.635687235448408</v>
      </c>
      <c r="Y67">
        <v>2060</v>
      </c>
      <c r="Z67">
        <f t="shared" si="13"/>
        <v>56.907674290916475</v>
      </c>
      <c r="AA67">
        <f t="shared" si="34"/>
        <v>56.793140000000221</v>
      </c>
      <c r="AB67">
        <f t="shared" si="15"/>
        <v>18.850352880021092</v>
      </c>
    </row>
    <row r="68" spans="2:28" x14ac:dyDescent="0.35">
      <c r="O68" s="1"/>
      <c r="Y68">
        <v>2061</v>
      </c>
      <c r="Z68">
        <f t="shared" si="13"/>
        <v>57.964747837508185</v>
      </c>
      <c r="AA68">
        <f t="shared" si="34"/>
        <v>57.866636500000368</v>
      </c>
      <c r="AB68">
        <f t="shared" si="15"/>
        <v>17.271501981798792</v>
      </c>
    </row>
    <row r="69" spans="2:28" x14ac:dyDescent="0.35">
      <c r="C69" t="s">
        <v>28</v>
      </c>
      <c r="Y69">
        <v>2062</v>
      </c>
      <c r="Z69">
        <f t="shared" si="13"/>
        <v>59.02130861495607</v>
      </c>
      <c r="AA69">
        <f t="shared" si="34"/>
        <v>58.94013300000006</v>
      </c>
      <c r="AB69">
        <f t="shared" si="15"/>
        <v>15.604239495238289</v>
      </c>
    </row>
    <row r="70" spans="2:28" x14ac:dyDescent="0.35">
      <c r="B70">
        <v>2020</v>
      </c>
      <c r="C70" s="1">
        <f t="shared" ref="C70:C75" si="41">_xlfn.STDEV.S(D62:M62)</f>
        <v>3.0036103275891146</v>
      </c>
      <c r="Y70">
        <v>2063</v>
      </c>
      <c r="Z70">
        <f t="shared" si="13"/>
        <v>60.077357120491797</v>
      </c>
      <c r="AA70">
        <f t="shared" si="34"/>
        <v>60.013629500000206</v>
      </c>
      <c r="AB70">
        <f t="shared" si="15"/>
        <v>13.848565420194063</v>
      </c>
    </row>
    <row r="71" spans="2:28" x14ac:dyDescent="0.35">
      <c r="B71">
        <v>2021</v>
      </c>
      <c r="C71" s="1">
        <f t="shared" si="41"/>
        <v>1.5419504243363733</v>
      </c>
      <c r="Y71">
        <v>2064</v>
      </c>
      <c r="Z71">
        <f t="shared" si="13"/>
        <v>61.132893850626715</v>
      </c>
      <c r="AA71">
        <f t="shared" si="34"/>
        <v>61.087126000000353</v>
      </c>
      <c r="AB71">
        <f t="shared" si="15"/>
        <v>12.004479756840738</v>
      </c>
    </row>
    <row r="72" spans="2:28" x14ac:dyDescent="0.35">
      <c r="B72">
        <v>2022</v>
      </c>
      <c r="C72" s="1">
        <f t="shared" si="41"/>
        <v>1.5050049833804535</v>
      </c>
      <c r="Y72">
        <v>2065</v>
      </c>
      <c r="Z72">
        <f t="shared" si="13"/>
        <v>62.187919301137299</v>
      </c>
      <c r="AA72">
        <f t="shared" si="34"/>
        <v>62.1606225000005</v>
      </c>
      <c r="AB72">
        <f t="shared" si="15"/>
        <v>10.071982505003689</v>
      </c>
    </row>
    <row r="73" spans="2:28" x14ac:dyDescent="0.35">
      <c r="B73">
        <v>2023</v>
      </c>
      <c r="C73" s="1">
        <f t="shared" si="41"/>
        <v>2.1412554728476501</v>
      </c>
      <c r="Y73">
        <v>2066</v>
      </c>
      <c r="Z73">
        <f t="shared" si="13"/>
        <v>63.242433967101533</v>
      </c>
      <c r="AA73">
        <f t="shared" si="34"/>
        <v>63.234119000000192</v>
      </c>
      <c r="AB73">
        <f t="shared" si="15"/>
        <v>8.0510736648575403</v>
      </c>
    </row>
    <row r="74" spans="2:28" x14ac:dyDescent="0.35">
      <c r="B74">
        <v>2024</v>
      </c>
      <c r="C74" s="1">
        <f t="shared" si="41"/>
        <v>3.8690301684588371</v>
      </c>
      <c r="Y74">
        <v>2067</v>
      </c>
      <c r="Z74">
        <f t="shared" si="13"/>
        <v>64.296438342858892</v>
      </c>
      <c r="AA74">
        <f t="shared" si="34"/>
        <v>64.307615500000338</v>
      </c>
      <c r="AB74">
        <f t="shared" si="15"/>
        <v>5.9417532362276688</v>
      </c>
    </row>
    <row r="75" spans="2:28" x14ac:dyDescent="0.35">
      <c r="B75">
        <v>2025</v>
      </c>
      <c r="C75" s="1">
        <f t="shared" si="41"/>
        <v>2.3841810846587341</v>
      </c>
      <c r="Y75">
        <v>2068</v>
      </c>
      <c r="Z75">
        <f t="shared" si="13"/>
        <v>65.349932922043081</v>
      </c>
      <c r="AA75">
        <f t="shared" si="34"/>
        <v>65.381112000000485</v>
      </c>
      <c r="AB75">
        <f t="shared" si="15"/>
        <v>3.744021219201386</v>
      </c>
    </row>
    <row r="79" spans="2:28" x14ac:dyDescent="0.35">
      <c r="C79" t="s">
        <v>33</v>
      </c>
    </row>
    <row r="80" spans="2:28" x14ac:dyDescent="0.35">
      <c r="C80" s="5">
        <f>(C67-C62)/C62</f>
        <v>0.30386272699292066</v>
      </c>
    </row>
  </sheetData>
  <mergeCells count="4">
    <mergeCell ref="B50:G50"/>
    <mergeCell ref="B40:G40"/>
    <mergeCell ref="B60:G60"/>
    <mergeCell ref="I23:I25"/>
  </mergeCells>
  <phoneticPr fontId="8" type="noConversion"/>
  <conditionalFormatting sqref="H21:H35">
    <cfRule type="cellIs" dxfId="1" priority="1" operator="greaterThan">
      <formula>0</formula>
    </cfRule>
    <cfRule type="cellIs" dxfId="0" priority="2" operator="lessThan">
      <formula>0</formula>
    </cfRule>
  </conditionalFormatting>
  <hyperlinks>
    <hyperlink ref="C41" r:id="rId1" xr:uid="{D01D40B5-7E53-4414-84A8-6C5CA2E9FCAB}"/>
    <hyperlink ref="C51" r:id="rId2" xr:uid="{7060B462-E8A8-4A61-8EE6-897FDF435BCD}"/>
  </hyperlinks>
  <pageMargins left="0.7" right="0.7" top="0.75" bottom="0.75" header="0.3" footer="0.3"/>
  <pageSetup paperSize="9" orientation="portrait" r:id="rId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AFD0-C2C1-456C-9A7B-7153D80AF973}">
  <dimension ref="B2:D22"/>
  <sheetViews>
    <sheetView workbookViewId="0"/>
  </sheetViews>
  <sheetFormatPr baseColWidth="10" defaultRowHeight="14.5" x14ac:dyDescent="0.35"/>
  <sheetData>
    <row r="2" spans="2:4" x14ac:dyDescent="0.35">
      <c r="B2" s="12" t="s">
        <v>59</v>
      </c>
    </row>
    <row r="3" spans="2:4" x14ac:dyDescent="0.35">
      <c r="B3" s="13" t="s">
        <v>60</v>
      </c>
    </row>
    <row r="4" spans="2:4" x14ac:dyDescent="0.35">
      <c r="B4" s="13" t="s">
        <v>61</v>
      </c>
    </row>
    <row r="6" spans="2:4" x14ac:dyDescent="0.35">
      <c r="C6" t="s">
        <v>62</v>
      </c>
      <c r="D6" t="s">
        <v>63</v>
      </c>
    </row>
    <row r="7" spans="2:4" x14ac:dyDescent="0.35">
      <c r="C7">
        <v>2011</v>
      </c>
      <c r="D7">
        <v>19.91</v>
      </c>
    </row>
    <row r="8" spans="2:4" x14ac:dyDescent="0.35">
      <c r="C8">
        <v>2012</v>
      </c>
      <c r="D8">
        <v>19.899999999999999</v>
      </c>
    </row>
    <row r="9" spans="2:4" x14ac:dyDescent="0.35">
      <c r="C9">
        <v>2013</v>
      </c>
      <c r="D9">
        <v>19.71</v>
      </c>
    </row>
    <row r="10" spans="2:4" x14ac:dyDescent="0.35">
      <c r="C10">
        <v>2014</v>
      </c>
      <c r="D10">
        <v>19.96</v>
      </c>
    </row>
    <row r="11" spans="2:4" x14ac:dyDescent="0.35">
      <c r="C11">
        <v>2015</v>
      </c>
      <c r="D11">
        <v>20.58</v>
      </c>
    </row>
    <row r="12" spans="2:4" x14ac:dyDescent="0.35">
      <c r="C12">
        <v>2016</v>
      </c>
      <c r="D12">
        <v>20.64</v>
      </c>
    </row>
    <row r="13" spans="2:4" x14ac:dyDescent="0.35">
      <c r="C13">
        <v>2017</v>
      </c>
      <c r="D13">
        <v>20.16</v>
      </c>
    </row>
    <row r="14" spans="2:4" x14ac:dyDescent="0.35">
      <c r="C14">
        <v>2018</v>
      </c>
      <c r="D14">
        <v>21.01</v>
      </c>
    </row>
    <row r="15" spans="2:4" x14ac:dyDescent="0.35">
      <c r="C15">
        <v>2019</v>
      </c>
      <c r="D15">
        <v>20.54</v>
      </c>
    </row>
    <row r="16" spans="2:4" x14ac:dyDescent="0.35">
      <c r="C16">
        <v>2020</v>
      </c>
      <c r="D16">
        <v>20.71</v>
      </c>
    </row>
    <row r="17" spans="3:4" x14ac:dyDescent="0.35">
      <c r="C17">
        <v>2021</v>
      </c>
      <c r="D17">
        <v>20.47</v>
      </c>
    </row>
    <row r="18" spans="3:4" x14ac:dyDescent="0.35">
      <c r="C18">
        <v>2022</v>
      </c>
      <c r="D18">
        <v>21.16</v>
      </c>
    </row>
    <row r="19" spans="3:4" x14ac:dyDescent="0.35">
      <c r="C19">
        <v>2023</v>
      </c>
      <c r="D19">
        <v>27.2</v>
      </c>
    </row>
    <row r="20" spans="3:4" x14ac:dyDescent="0.35">
      <c r="C20">
        <v>2024</v>
      </c>
      <c r="D20">
        <v>32.08</v>
      </c>
    </row>
    <row r="21" spans="3:4" x14ac:dyDescent="0.35">
      <c r="C21">
        <v>2025</v>
      </c>
      <c r="D21">
        <v>29</v>
      </c>
    </row>
    <row r="22" spans="3:4" x14ac:dyDescent="0.35">
      <c r="C22">
        <v>2026</v>
      </c>
      <c r="D22">
        <v>27.7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F7C6-F733-4490-B502-5CD42C1EB401}">
  <dimension ref="A2:B19"/>
  <sheetViews>
    <sheetView workbookViewId="0">
      <selection activeCell="H49" sqref="H49"/>
    </sheetView>
  </sheetViews>
  <sheetFormatPr baseColWidth="10" defaultRowHeight="14.5" x14ac:dyDescent="0.35"/>
  <cols>
    <col min="1" max="1" width="11.453125" bestFit="1" customWidth="1"/>
    <col min="2" max="2" width="17.1796875" bestFit="1" customWidth="1"/>
  </cols>
  <sheetData>
    <row r="2" spans="1:2" x14ac:dyDescent="0.35">
      <c r="A2" s="14" t="s">
        <v>62</v>
      </c>
      <c r="B2" t="s">
        <v>64</v>
      </c>
    </row>
    <row r="3" spans="1:2" x14ac:dyDescent="0.35">
      <c r="A3">
        <v>2011</v>
      </c>
      <c r="B3">
        <v>19.91</v>
      </c>
    </row>
    <row r="4" spans="1:2" x14ac:dyDescent="0.35">
      <c r="A4">
        <v>2012</v>
      </c>
      <c r="B4">
        <v>19.899999999999999</v>
      </c>
    </row>
    <row r="5" spans="1:2" x14ac:dyDescent="0.35">
      <c r="A5">
        <v>2013</v>
      </c>
      <c r="B5">
        <v>19.71</v>
      </c>
    </row>
    <row r="6" spans="1:2" x14ac:dyDescent="0.35">
      <c r="A6">
        <v>2014</v>
      </c>
      <c r="B6">
        <v>19.96</v>
      </c>
    </row>
    <row r="7" spans="1:2" x14ac:dyDescent="0.35">
      <c r="A7">
        <v>2015</v>
      </c>
      <c r="B7">
        <v>20.58</v>
      </c>
    </row>
    <row r="8" spans="1:2" x14ac:dyDescent="0.35">
      <c r="A8">
        <v>2016</v>
      </c>
      <c r="B8">
        <v>20.64</v>
      </c>
    </row>
    <row r="9" spans="1:2" x14ac:dyDescent="0.35">
      <c r="A9">
        <v>2017</v>
      </c>
      <c r="B9">
        <v>20.16</v>
      </c>
    </row>
    <row r="10" spans="1:2" x14ac:dyDescent="0.35">
      <c r="A10">
        <v>2018</v>
      </c>
      <c r="B10">
        <v>21.01</v>
      </c>
    </row>
    <row r="11" spans="1:2" x14ac:dyDescent="0.35">
      <c r="A11">
        <v>2019</v>
      </c>
      <c r="B11">
        <v>20.54</v>
      </c>
    </row>
    <row r="12" spans="1:2" x14ac:dyDescent="0.35">
      <c r="A12">
        <v>2020</v>
      </c>
      <c r="B12">
        <v>20.71</v>
      </c>
    </row>
    <row r="13" spans="1:2" x14ac:dyDescent="0.35">
      <c r="A13">
        <v>2021</v>
      </c>
      <c r="B13">
        <v>20.47</v>
      </c>
    </row>
    <row r="14" spans="1:2" x14ac:dyDescent="0.35">
      <c r="A14">
        <v>2022</v>
      </c>
      <c r="B14">
        <v>21.16</v>
      </c>
    </row>
    <row r="15" spans="1:2" x14ac:dyDescent="0.35">
      <c r="A15">
        <v>2023</v>
      </c>
      <c r="B15">
        <v>27.2</v>
      </c>
    </row>
    <row r="16" spans="1:2" x14ac:dyDescent="0.35">
      <c r="A16">
        <v>2024</v>
      </c>
      <c r="B16">
        <v>32.08</v>
      </c>
    </row>
    <row r="17" spans="1:2" x14ac:dyDescent="0.35">
      <c r="A17">
        <v>2025</v>
      </c>
      <c r="B17">
        <v>29</v>
      </c>
    </row>
    <row r="18" spans="1:2" x14ac:dyDescent="0.35">
      <c r="A18">
        <v>2026</v>
      </c>
      <c r="B18">
        <v>27.7</v>
      </c>
    </row>
    <row r="19" spans="1:2" x14ac:dyDescent="0.35">
      <c r="A19" t="s">
        <v>65</v>
      </c>
      <c r="B19">
        <v>360.72999999999996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bea87-b79a-46df-81a5-d3d64f8d601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AD443EDDF914888494C8524CB6E3E" ma:contentTypeVersion="12" ma:contentTypeDescription="Crée un document." ma:contentTypeScope="" ma:versionID="c6d94fec28a6916f9f194e2585cd05c9">
  <xsd:schema xmlns:xsd="http://www.w3.org/2001/XMLSchema" xmlns:xs="http://www.w3.org/2001/XMLSchema" xmlns:p="http://schemas.microsoft.com/office/2006/metadata/properties" xmlns:ns2="98cbea87-b79a-46df-81a5-d3d64f8d601a" targetNamespace="http://schemas.microsoft.com/office/2006/metadata/properties" ma:root="true" ma:fieldsID="b76826700120d36e71268f82502842fa" ns2:_="">
    <xsd:import namespace="98cbea87-b79a-46df-81a5-d3d64f8d6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bea87-b79a-46df-81a5-d3d64f8d6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43904d62-a6d3-43f8-8829-164785f195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AB364E-E4F7-421E-8B40-8829F7BD5BD0}">
  <ds:schemaRefs>
    <ds:schemaRef ds:uri="http://schemas.microsoft.com/office/2006/metadata/properties"/>
    <ds:schemaRef ds:uri="http://schemas.microsoft.com/office/infopath/2007/PartnerControls"/>
    <ds:schemaRef ds:uri="98cbea87-b79a-46df-81a5-d3d64f8d601a"/>
  </ds:schemaRefs>
</ds:datastoreItem>
</file>

<file path=customXml/itemProps2.xml><?xml version="1.0" encoding="utf-8"?>
<ds:datastoreItem xmlns:ds="http://schemas.openxmlformats.org/officeDocument/2006/customXml" ds:itemID="{DCDA997E-CA9F-4ED3-BD5D-B3F392E53C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2EBD39-8C94-434D-A88F-4A2B92685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cbea87-b79a-46df-81a5-d3d64f8d6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Feuil11</vt:lpstr>
      <vt:lpstr>Feuil12</vt:lpstr>
      <vt:lpstr>Feuil13</vt:lpstr>
      <vt:lpstr>Feuil14</vt:lpstr>
      <vt:lpstr>Average GRD</vt:lpstr>
      <vt:lpstr>Feuil9</vt:lpstr>
      <vt:lpstr>Feuil10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Staub</dc:creator>
  <cp:lastModifiedBy>informatique INGTECH</cp:lastModifiedBy>
  <dcterms:created xsi:type="dcterms:W3CDTF">2025-07-28T11:37:14Z</dcterms:created>
  <dcterms:modified xsi:type="dcterms:W3CDTF">2026-02-04T18:27:27Z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0x010100383AD443EDDF914888494C8524CB6E3E</vt:lpwstr>
  </property>
  <property fmtid="{D5CDD505-2E9C-101B-9397-08002B2CF9AE}" pid="3" name="MediaServiceImageTags">
    <vt:lpwstr/>
  </property>
</Properties>
</file>