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M:\TM_SynergyFlex_Nikola\SynergyFlex\data\"/>
    </mc:Choice>
  </mc:AlternateContent>
  <xr:revisionPtr revIDLastSave="0" documentId="13_ncr:1_{46805C70-5A6B-46D7-A55A-534C97BD4F97}" xr6:coauthVersionLast="47" xr6:coauthVersionMax="47" xr10:uidLastSave="{00000000-0000-0000-0000-000000000000}"/>
  <bookViews>
    <workbookView xWindow="40160" yWindow="1360" windowWidth="28800" windowHeight="15370" xr2:uid="{00000000-000D-0000-FFFF-FFFF00000000}"/>
  </bookViews>
  <sheets>
    <sheet name="Battery Li-ion" sheetId="1" r:id="rId1"/>
    <sheet name="Battery Evoli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3" i="2" l="1"/>
</calcChain>
</file>

<file path=xl/sharedStrings.xml><?xml version="1.0" encoding="utf-8"?>
<sst xmlns="http://schemas.openxmlformats.org/spreadsheetml/2006/main" count="52" uniqueCount="24">
  <si>
    <t>%</t>
  </si>
  <si>
    <t>CHF/an</t>
  </si>
  <si>
    <t>CHF/kWh</t>
  </si>
  <si>
    <t>kg CO2-eq/kWh</t>
  </si>
  <si>
    <t>ans</t>
  </si>
  <si>
    <t>kWh</t>
  </si>
  <si>
    <r>
      <t>Wh/m</t>
    </r>
    <r>
      <rPr>
        <vertAlign val="superscript"/>
        <sz val="11"/>
        <color theme="1"/>
        <rFont val="Calibri"/>
        <family val="2"/>
        <scheme val="minor"/>
      </rPr>
      <t>3</t>
    </r>
  </si>
  <si>
    <t>kW/kWh</t>
  </si>
  <si>
    <t>Parameters</t>
  </si>
  <si>
    <t xml:space="preserve">Values </t>
  </si>
  <si>
    <t>Units</t>
  </si>
  <si>
    <t>Min capacity</t>
  </si>
  <si>
    <t>Max capacity</t>
  </si>
  <si>
    <t>Energy density</t>
  </si>
  <si>
    <t>Efficiency</t>
  </si>
  <si>
    <t>CAPEX</t>
  </si>
  <si>
    <t>OPEX</t>
  </si>
  <si>
    <t>CO2 emissions</t>
  </si>
  <si>
    <t>Max charge C-rate</t>
  </si>
  <si>
    <t>Max discharge C-rate</t>
  </si>
  <si>
    <t>Lifetime</t>
  </si>
  <si>
    <t>SOC max</t>
  </si>
  <si>
    <t>SOC min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</si>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</sst>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34205-0A71-4F5C-BF66-187168C46BDD}" name="Tableau13" displayName="Tableau13" ref="A1:C13" totalsRowShown="0">
  <autoFilter ref="A1:C13" xr:uid="{7E334205-0A71-4F5C-BF66-187168C46BDD}"/>
  <tableColumns count="3">
    <tableColumn id="1" xr3:uid="{61070008-226C-48C2-8155-53E45E9F0B7C}" name="Parameters"/>
    <tableColumn id="2" xr3:uid="{30FA11E3-0D2A-4513-83A3-E63DB211DA06}" name="Values "/>
    <tableColumn id="3" xr3:uid="{AACC6909-DF7C-4027-83B7-D05E6E810964}" name="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6202D9-22FF-482E-BB99-E1D8CDEFDF1D}" name="Tableau133" displayName="Tableau133" ref="A1:C12" totalsRowShown="0">
  <autoFilter ref="A1:C12" xr:uid="{7E334205-0A71-4F5C-BF66-187168C46BDD}"/>
  <tableColumns count="3">
    <tableColumn id="1" xr3:uid="{1B1BD75B-E8E5-4D0A-9784-6B84563A9B31}" name="Parameters"/>
    <tableColumn id="2" xr3:uid="{85011725-720A-4151-AE4C-2B88F237738B}" name="Values "/>
    <tableColumn id="3" xr3:uid="{0934A3B9-E62E-4A3E-A67A-143385CFDDCB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13"/>
  <sheetViews>
    <sheetView tabSelected="1" workbookViewId="0">
      <selection activeCell="C33" sqref="C33"/>
    </sheetView>
  </sheetViews>
  <sheetFormatPr baseColWidth="10" defaultColWidth="8.7265625" defaultRowHeight="14.5" x14ac:dyDescent="0.35"/>
  <cols>
    <col min="1" max="1" width="18.90625" bestFit="1" customWidth="1"/>
    <col min="2" max="2" width="9.81640625" customWidth="1"/>
    <col min="3" max="3" width="13.90625" bestFit="1" customWidth="1"/>
    <col min="4" max="4" width="28.81640625" customWidth="1"/>
    <col min="5" max="5" width="11.90625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11</v>
      </c>
      <c r="B2">
        <v>1</v>
      </c>
      <c r="C2" t="s">
        <v>5</v>
      </c>
    </row>
    <row r="3" spans="1:3" x14ac:dyDescent="0.35">
      <c r="A3" t="s">
        <v>12</v>
      </c>
      <c r="B3">
        <v>100</v>
      </c>
      <c r="C3" t="s">
        <v>5</v>
      </c>
    </row>
    <row r="4" spans="1:3" ht="16.5" x14ac:dyDescent="0.35">
      <c r="A4" s="2" t="s">
        <v>13</v>
      </c>
      <c r="B4">
        <v>600</v>
      </c>
      <c r="C4" t="s">
        <v>6</v>
      </c>
    </row>
    <row r="5" spans="1:3" x14ac:dyDescent="0.35">
      <c r="A5" s="2" t="s">
        <v>14</v>
      </c>
      <c r="B5">
        <v>90</v>
      </c>
      <c r="C5" t="s">
        <v>0</v>
      </c>
    </row>
    <row r="6" spans="1:3" x14ac:dyDescent="0.35">
      <c r="A6" s="2" t="s">
        <v>15</v>
      </c>
      <c r="B6">
        <v>400</v>
      </c>
      <c r="C6" t="s">
        <v>2</v>
      </c>
    </row>
    <row r="7" spans="1:3" x14ac:dyDescent="0.35">
      <c r="A7" t="s">
        <v>16</v>
      </c>
      <c r="B7">
        <v>5</v>
      </c>
      <c r="C7" t="s">
        <v>1</v>
      </c>
    </row>
    <row r="8" spans="1:3" x14ac:dyDescent="0.35">
      <c r="A8" t="s">
        <v>17</v>
      </c>
      <c r="B8">
        <v>530</v>
      </c>
      <c r="C8" t="s">
        <v>3</v>
      </c>
    </row>
    <row r="9" spans="1:3" x14ac:dyDescent="0.35">
      <c r="A9" t="s">
        <v>18</v>
      </c>
      <c r="B9">
        <v>0.5</v>
      </c>
      <c r="C9" t="s">
        <v>7</v>
      </c>
    </row>
    <row r="10" spans="1:3" x14ac:dyDescent="0.35">
      <c r="A10" t="s">
        <v>19</v>
      </c>
      <c r="B10">
        <v>0.5</v>
      </c>
      <c r="C10" t="s">
        <v>7</v>
      </c>
    </row>
    <row r="11" spans="1:3" x14ac:dyDescent="0.35">
      <c r="A11" t="s">
        <v>20</v>
      </c>
      <c r="B11">
        <v>10</v>
      </c>
      <c r="C11" t="s">
        <v>4</v>
      </c>
    </row>
    <row r="12" spans="1:3" x14ac:dyDescent="0.35">
      <c r="A12" t="s">
        <v>21</v>
      </c>
      <c r="B12">
        <v>80</v>
      </c>
      <c r="C12" t="s">
        <v>0</v>
      </c>
    </row>
    <row r="13" spans="1:3" x14ac:dyDescent="0.35">
      <c r="A13" t="s">
        <v>22</v>
      </c>
      <c r="B13">
        <v>20</v>
      </c>
      <c r="C13" t="s">
        <v>0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7C9E-D413-4D06-A578-4480A345970A}">
  <dimension ref="A1:C12"/>
  <sheetViews>
    <sheetView workbookViewId="0">
      <selection activeCell="A5" sqref="A5"/>
    </sheetView>
  </sheetViews>
  <sheetFormatPr baseColWidth="10" defaultColWidth="8.7265625" defaultRowHeight="14.5" x14ac:dyDescent="0.35"/>
  <cols>
    <col min="1" max="1" width="18.90625" bestFit="1" customWidth="1"/>
    <col min="2" max="2" width="9.81640625" customWidth="1"/>
    <col min="3" max="3" width="13.90625" bestFit="1" customWidth="1"/>
    <col min="4" max="4" width="28.81640625" customWidth="1"/>
    <col min="5" max="5" width="11.90625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23</v>
      </c>
      <c r="B2">
        <v>10</v>
      </c>
      <c r="C2" t="s">
        <v>5</v>
      </c>
    </row>
    <row r="3" spans="1:3" ht="16.5" x14ac:dyDescent="0.35">
      <c r="A3" s="2" t="s">
        <v>13</v>
      </c>
      <c r="B3" s="1">
        <f>B2*1000/(0.54*0.57*0.6)</f>
        <v>54147.714966428415</v>
      </c>
      <c r="C3" t="s">
        <v>6</v>
      </c>
    </row>
    <row r="4" spans="1:3" x14ac:dyDescent="0.35">
      <c r="A4" s="2" t="s">
        <v>14</v>
      </c>
      <c r="B4">
        <v>90</v>
      </c>
      <c r="C4" t="s">
        <v>0</v>
      </c>
    </row>
    <row r="5" spans="1:3" x14ac:dyDescent="0.35">
      <c r="A5" s="2" t="s">
        <v>15</v>
      </c>
      <c r="B5">
        <v>350</v>
      </c>
      <c r="C5" t="s">
        <v>2</v>
      </c>
    </row>
    <row r="6" spans="1:3" x14ac:dyDescent="0.35">
      <c r="A6" t="s">
        <v>16</v>
      </c>
      <c r="B6">
        <f>216+B5*B2/B10</f>
        <v>356</v>
      </c>
      <c r="C6" t="s">
        <v>1</v>
      </c>
    </row>
    <row r="7" spans="1:3" x14ac:dyDescent="0.35">
      <c r="A7" t="s">
        <v>17</v>
      </c>
      <c r="B7">
        <f>530*0.2</f>
        <v>106</v>
      </c>
      <c r="C7" t="s">
        <v>3</v>
      </c>
    </row>
    <row r="8" spans="1:3" ht="16.5" x14ac:dyDescent="0.45">
      <c r="A8" t="s">
        <v>18</v>
      </c>
      <c r="B8">
        <v>0.2</v>
      </c>
      <c r="C8" t="s">
        <v>7</v>
      </c>
    </row>
    <row r="9" spans="1:3" x14ac:dyDescent="0.35">
      <c r="A9" t="s">
        <v>19</v>
      </c>
      <c r="B9">
        <v>0.2</v>
      </c>
      <c r="C9" t="s">
        <v>7</v>
      </c>
    </row>
    <row r="10" spans="1:3" x14ac:dyDescent="0.35">
      <c r="A10" t="s">
        <v>20</v>
      </c>
      <c r="B10">
        <v>25</v>
      </c>
      <c r="C10" t="s">
        <v>4</v>
      </c>
    </row>
    <row r="11" spans="1:3" x14ac:dyDescent="0.35">
      <c r="A11" t="s">
        <v>21</v>
      </c>
      <c r="B11">
        <v>100</v>
      </c>
      <c r="C11" t="s">
        <v>0</v>
      </c>
    </row>
    <row r="12" spans="1:3" x14ac:dyDescent="0.35">
      <c r="A12" t="s">
        <v>22</v>
      </c>
      <c r="B12">
        <v>0</v>
      </c>
      <c r="C12" t="s">
        <v>0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Battery Li-ion</vt:lpstr>
      <vt:lpstr>Battery Evolium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Vujic</dc:creator>
  <cp:lastModifiedBy>informatique INGTECH</cp:lastModifiedBy>
  <dcterms:created xsi:type="dcterms:W3CDTF">2015-06-05T18:19:34Z</dcterms:created>
  <dcterms:modified xsi:type="dcterms:W3CDTF">2026-01-19T17:08:33Z</dcterms:modified>
</cp:coreProperties>
</file>