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M_SynergyFlex_Nikola\SynergyFlex\data\"/>
    </mc:Choice>
  </mc:AlternateContent>
  <xr:revisionPtr revIDLastSave="0" documentId="13_ncr:1_{E5032B9D-335A-4932-BA29-5C72C639EF73}" xr6:coauthVersionLast="47" xr6:coauthVersionMax="47" xr10:uidLastSave="{00000000-0000-0000-0000-000000000000}"/>
  <bookViews>
    <workbookView xWindow="-110" yWindow="-110" windowWidth="38620" windowHeight="21100" xr2:uid="{A43AC8FE-A953-4253-BCE3-21B86C954AA6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<sst xmlns="http://schemas.openxmlformats.org/spreadsheetml/2006/main" count="10" uniqueCount="9">
  <si>
    <t>N</t>
  </si>
  <si>
    <t>NO</t>
  </si>
  <si>
    <t>O</t>
  </si>
  <si>
    <t>SO</t>
  </si>
  <si>
    <t>S</t>
  </si>
  <si>
    <t>NE</t>
  </si>
  <si>
    <t>SE</t>
  </si>
  <si>
    <t>E</t>
  </si>
  <si>
    <t>Ave PV opti, j'ai calculer en foncion de orientation 0 inclinaison 30 = rendement de 1 j'ai tirer ces point et interpoler.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</si>
</sst>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ORIENTATION 0°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3789195480999658"/>
                  <c:y val="9.07951181150203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-1E-04x</a:t>
                    </a:r>
                    <a:r>
                      <a:rPr lang="en-US" sz="2000" baseline="30000"/>
                      <a:t>2</a:t>
                    </a:r>
                    <a:r>
                      <a:rPr lang="en-US" sz="2000" baseline="0"/>
                      <a:t> + 0,0062x + 0,901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</c:numCache>
            </c:numRef>
          </c:xVal>
          <c:yVal>
            <c:numRef>
              <c:f>Feuil1!$F$3:$F$7</c:f>
              <c:numCache>
                <c:formatCode>General</c:formatCode>
                <c:ptCount val="5"/>
                <c:pt idx="0">
                  <c:v>0.9</c:v>
                </c:pt>
                <c:pt idx="1">
                  <c:v>1</c:v>
                </c:pt>
                <c:pt idx="2">
                  <c:v>0.97675000000000001</c:v>
                </c:pt>
                <c:pt idx="3">
                  <c:v>0.91</c:v>
                </c:pt>
                <c:pt idx="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F-4D4C-BE9F-91ECA4D5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177600"/>
        <c:axId val="1777298384"/>
      </c:scatterChart>
      <c:valAx>
        <c:axId val="38617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298384"/>
        <c:crosses val="autoZero"/>
        <c:crossBetween val="midCat"/>
      </c:valAx>
      <c:valAx>
        <c:axId val="17772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617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ORIENTAITON 45°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</c:numCache>
            </c:numRef>
          </c:xVal>
          <c:yVal>
            <c:numRef>
              <c:f>Feuil1!$G$3:$G$7</c:f>
              <c:numCache>
                <c:formatCode>General</c:formatCode>
                <c:ptCount val="5"/>
                <c:pt idx="0">
                  <c:v>0.9</c:v>
                </c:pt>
                <c:pt idx="1">
                  <c:v>0.92</c:v>
                </c:pt>
                <c:pt idx="2">
                  <c:v>0.873</c:v>
                </c:pt>
                <c:pt idx="3">
                  <c:v>0.8</c:v>
                </c:pt>
                <c:pt idx="4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B-420F-BEB3-EF3DA7C1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78816"/>
        <c:axId val="756176416"/>
      </c:scatterChart>
      <c:valAx>
        <c:axId val="75617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176416"/>
        <c:crosses val="autoZero"/>
        <c:crossBetween val="midCat"/>
      </c:valAx>
      <c:valAx>
        <c:axId val="75617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17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oRIENTATION 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</c:numCache>
            </c:numRef>
          </c:xVal>
          <c:yVal>
            <c:numRef>
              <c:f>Feuil1!$D$3:$D$7</c:f>
              <c:numCache>
                <c:formatCode>General</c:formatCode>
                <c:ptCount val="5"/>
                <c:pt idx="0">
                  <c:v>0.9</c:v>
                </c:pt>
                <c:pt idx="1">
                  <c:v>0.77800000000000002</c:v>
                </c:pt>
                <c:pt idx="2">
                  <c:v>0.7</c:v>
                </c:pt>
                <c:pt idx="3">
                  <c:v>0.64</c:v>
                </c:pt>
                <c:pt idx="4">
                  <c:v>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B-45CB-A6F2-864861278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76896"/>
        <c:axId val="611043328"/>
      </c:scatterChart>
      <c:valAx>
        <c:axId val="75617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1043328"/>
        <c:crosses val="autoZero"/>
        <c:crossBetween val="midCat"/>
      </c:valAx>
      <c:valAx>
        <c:axId val="6110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17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INCLINAISON 30 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2.0436351706036745E-2"/>
                  <c:y val="0.1275521289005540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-1E-14x</a:t>
                    </a:r>
                    <a:r>
                      <a:rPr lang="en-US" sz="2000" baseline="30000"/>
                      <a:t>6</a:t>
                    </a:r>
                    <a:r>
                      <a:rPr lang="en-US" sz="2000" baseline="0"/>
                      <a:t> + 8E-22x</a:t>
                    </a:r>
                    <a:r>
                      <a:rPr lang="en-US" sz="2000" baseline="30000"/>
                      <a:t>5</a:t>
                    </a:r>
                    <a:r>
                      <a:rPr lang="en-US" sz="2000" baseline="0"/>
                      <a:t> + 1E-09x</a:t>
                    </a:r>
                    <a:r>
                      <a:rPr lang="en-US" sz="2000" baseline="30000"/>
                      <a:t>4</a:t>
                    </a:r>
                    <a:r>
                      <a:rPr lang="en-US" sz="2000" baseline="0"/>
                      <a:t> - 1E-17x</a:t>
                    </a:r>
                    <a:r>
                      <a:rPr lang="en-US" sz="2000" baseline="30000"/>
                      <a:t>3</a:t>
                    </a:r>
                    <a:r>
                      <a:rPr lang="en-US" sz="2000" baseline="0"/>
                      <a:t> - 4E-05x</a:t>
                    </a:r>
                    <a:r>
                      <a:rPr lang="en-US" sz="2000" baseline="30000"/>
                      <a:t>2</a:t>
                    </a:r>
                    <a:r>
                      <a:rPr lang="en-US" sz="2000" baseline="0"/>
                      <a:t> - 2E-12x + 0,993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Feuil1!$B$2:$J$2</c:f>
              <c:numCache>
                <c:formatCode>General</c:formatCode>
                <c:ptCount val="9"/>
                <c:pt idx="0">
                  <c:v>-180</c:v>
                </c:pt>
                <c:pt idx="1">
                  <c:v>-135</c:v>
                </c:pt>
                <c:pt idx="2">
                  <c:v>-90</c:v>
                </c:pt>
                <c:pt idx="3">
                  <c:v>-45</c:v>
                </c:pt>
                <c:pt idx="4">
                  <c:v>0</c:v>
                </c:pt>
                <c:pt idx="5">
                  <c:v>45</c:v>
                </c:pt>
                <c:pt idx="6">
                  <c:v>90</c:v>
                </c:pt>
                <c:pt idx="7">
                  <c:v>135</c:v>
                </c:pt>
                <c:pt idx="8">
                  <c:v>180</c:v>
                </c:pt>
              </c:numCache>
            </c:numRef>
          </c:xVal>
          <c:yVal>
            <c:numRef>
              <c:f>Feuil1!$B$4:$J$4</c:f>
              <c:numCache>
                <c:formatCode>General</c:formatCode>
                <c:ptCount val="9"/>
                <c:pt idx="0">
                  <c:v>0.628</c:v>
                </c:pt>
                <c:pt idx="1">
                  <c:v>0.65600000000000003</c:v>
                </c:pt>
                <c:pt idx="2">
                  <c:v>0.77800000000000002</c:v>
                </c:pt>
                <c:pt idx="3">
                  <c:v>0.92</c:v>
                </c:pt>
                <c:pt idx="4">
                  <c:v>1</c:v>
                </c:pt>
                <c:pt idx="5">
                  <c:v>0.92</c:v>
                </c:pt>
                <c:pt idx="6">
                  <c:v>0.77800000000000002</c:v>
                </c:pt>
                <c:pt idx="7">
                  <c:v>0.65600000000000003</c:v>
                </c:pt>
                <c:pt idx="8">
                  <c:v>0.628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0-457D-B744-BC23FE27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209584"/>
        <c:axId val="452210544"/>
      </c:scatterChart>
      <c:valAx>
        <c:axId val="45220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2210544"/>
        <c:crosses val="autoZero"/>
        <c:crossBetween val="midCat"/>
      </c:valAx>
      <c:valAx>
        <c:axId val="4522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220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INCLINAISON 45°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3381889763779521E-2"/>
          <c:y val="0.16708333333333336"/>
          <c:w val="0.89706255468066487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Feuil1!$B$2:$J$2</c:f>
              <c:numCache>
                <c:formatCode>General</c:formatCode>
                <c:ptCount val="9"/>
                <c:pt idx="0">
                  <c:v>-180</c:v>
                </c:pt>
                <c:pt idx="1">
                  <c:v>-135</c:v>
                </c:pt>
                <c:pt idx="2">
                  <c:v>-90</c:v>
                </c:pt>
                <c:pt idx="3">
                  <c:v>-45</c:v>
                </c:pt>
                <c:pt idx="4">
                  <c:v>0</c:v>
                </c:pt>
                <c:pt idx="5">
                  <c:v>45</c:v>
                </c:pt>
                <c:pt idx="6">
                  <c:v>90</c:v>
                </c:pt>
                <c:pt idx="7">
                  <c:v>135</c:v>
                </c:pt>
                <c:pt idx="8">
                  <c:v>180</c:v>
                </c:pt>
              </c:numCache>
            </c:numRef>
          </c:xVal>
          <c:yVal>
            <c:numRef>
              <c:f>Feuil1!$B$5:$J$5</c:f>
              <c:numCache>
                <c:formatCode>General</c:formatCode>
                <c:ptCount val="9"/>
                <c:pt idx="0">
                  <c:v>0.49</c:v>
                </c:pt>
                <c:pt idx="1">
                  <c:v>0.54</c:v>
                </c:pt>
                <c:pt idx="2">
                  <c:v>0.7</c:v>
                </c:pt>
                <c:pt idx="3">
                  <c:v>0.873</c:v>
                </c:pt>
                <c:pt idx="4">
                  <c:v>0.97675000000000001</c:v>
                </c:pt>
                <c:pt idx="5">
                  <c:v>0.873</c:v>
                </c:pt>
                <c:pt idx="6">
                  <c:v>0.7</c:v>
                </c:pt>
                <c:pt idx="7">
                  <c:v>0.54</c:v>
                </c:pt>
                <c:pt idx="8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8-4CEA-8A7F-97404E0FA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903456"/>
        <c:axId val="1184903936"/>
      </c:scatterChart>
      <c:valAx>
        <c:axId val="118490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903936"/>
        <c:crosses val="autoZero"/>
        <c:crossBetween val="midCat"/>
      </c:valAx>
      <c:valAx>
        <c:axId val="11849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90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INCLINAISON</a:t>
            </a:r>
            <a:r>
              <a:rPr lang="fr-CH" baseline="0"/>
              <a:t> 60°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Feuil1!$B$2:$J$2</c:f>
              <c:numCache>
                <c:formatCode>General</c:formatCode>
                <c:ptCount val="9"/>
                <c:pt idx="0">
                  <c:v>-180</c:v>
                </c:pt>
                <c:pt idx="1">
                  <c:v>-135</c:v>
                </c:pt>
                <c:pt idx="2">
                  <c:v>-90</c:v>
                </c:pt>
                <c:pt idx="3">
                  <c:v>-45</c:v>
                </c:pt>
                <c:pt idx="4">
                  <c:v>0</c:v>
                </c:pt>
                <c:pt idx="5">
                  <c:v>45</c:v>
                </c:pt>
                <c:pt idx="6">
                  <c:v>90</c:v>
                </c:pt>
                <c:pt idx="7">
                  <c:v>135</c:v>
                </c:pt>
                <c:pt idx="8">
                  <c:v>180</c:v>
                </c:pt>
              </c:numCache>
            </c:numRef>
          </c:xVal>
          <c:yVal>
            <c:numRef>
              <c:f>Feuil1!$B$6:$J$6</c:f>
              <c:numCache>
                <c:formatCode>General</c:formatCode>
                <c:ptCount val="9"/>
                <c:pt idx="0">
                  <c:v>0.377</c:v>
                </c:pt>
                <c:pt idx="1">
                  <c:v>0.47360000000000002</c:v>
                </c:pt>
                <c:pt idx="2">
                  <c:v>0.64</c:v>
                </c:pt>
                <c:pt idx="3">
                  <c:v>0.8</c:v>
                </c:pt>
                <c:pt idx="4">
                  <c:v>0.91</c:v>
                </c:pt>
                <c:pt idx="5">
                  <c:v>0.8</c:v>
                </c:pt>
                <c:pt idx="6">
                  <c:v>0.64</c:v>
                </c:pt>
                <c:pt idx="7">
                  <c:v>0.47360000000000002</c:v>
                </c:pt>
                <c:pt idx="8">
                  <c:v>0.377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A-4FD8-9798-7292104A4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089008"/>
        <c:axId val="1200100864"/>
      </c:scatterChart>
      <c:valAx>
        <c:axId val="184108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0100864"/>
        <c:crosses val="autoZero"/>
        <c:crossBetween val="midCat"/>
      </c:valAx>
      <c:valAx>
        <c:axId val="12001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08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INCLINAISON</a:t>
            </a:r>
            <a:r>
              <a:rPr lang="fr-CH" baseline="0"/>
              <a:t> 90°</a:t>
            </a:r>
            <a:endParaRPr lang="fr-CH"/>
          </a:p>
        </c:rich>
      </c:tx>
      <c:layout>
        <c:manualLayout>
          <c:xMode val="edge"/>
          <c:yMode val="edge"/>
          <c:x val="0.3533611111111111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Feuil1!$B$2:$J$2</c:f>
              <c:numCache>
                <c:formatCode>General</c:formatCode>
                <c:ptCount val="9"/>
                <c:pt idx="0">
                  <c:v>-180</c:v>
                </c:pt>
                <c:pt idx="1">
                  <c:v>-135</c:v>
                </c:pt>
                <c:pt idx="2">
                  <c:v>-90</c:v>
                </c:pt>
                <c:pt idx="3">
                  <c:v>-45</c:v>
                </c:pt>
                <c:pt idx="4">
                  <c:v>0</c:v>
                </c:pt>
                <c:pt idx="5">
                  <c:v>45</c:v>
                </c:pt>
                <c:pt idx="6">
                  <c:v>90</c:v>
                </c:pt>
                <c:pt idx="7">
                  <c:v>135</c:v>
                </c:pt>
                <c:pt idx="8">
                  <c:v>180</c:v>
                </c:pt>
              </c:numCache>
            </c:numRef>
          </c:xVal>
          <c:yVal>
            <c:numRef>
              <c:f>Feuil1!$B$7:$J$7</c:f>
              <c:numCache>
                <c:formatCode>General</c:formatCode>
                <c:ptCount val="9"/>
                <c:pt idx="0">
                  <c:v>0.27</c:v>
                </c:pt>
                <c:pt idx="1">
                  <c:v>0.34699999999999998</c:v>
                </c:pt>
                <c:pt idx="2">
                  <c:v>0.51</c:v>
                </c:pt>
                <c:pt idx="3">
                  <c:v>0.6</c:v>
                </c:pt>
                <c:pt idx="4">
                  <c:v>0.65</c:v>
                </c:pt>
                <c:pt idx="5">
                  <c:v>0.6</c:v>
                </c:pt>
                <c:pt idx="6">
                  <c:v>0.51</c:v>
                </c:pt>
                <c:pt idx="7">
                  <c:v>0.34699999999999998</c:v>
                </c:pt>
                <c:pt idx="8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E-412F-B5E9-2F61E4969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892896"/>
        <c:axId val="1184890976"/>
      </c:scatterChart>
      <c:valAx>
        <c:axId val="118489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890976"/>
        <c:crosses val="autoZero"/>
        <c:crossBetween val="midCat"/>
      </c:valAx>
      <c:valAx>
        <c:axId val="11848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89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oRIENTATION 135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</c:numCache>
            </c:numRef>
          </c:xVal>
          <c:yVal>
            <c:numRef>
              <c:f>Feuil1!$C$3:$C$7</c:f>
              <c:numCache>
                <c:formatCode>General</c:formatCode>
                <c:ptCount val="5"/>
                <c:pt idx="0">
                  <c:v>0.9</c:v>
                </c:pt>
                <c:pt idx="1">
                  <c:v>0.65600000000000003</c:v>
                </c:pt>
                <c:pt idx="2">
                  <c:v>0.54</c:v>
                </c:pt>
                <c:pt idx="3">
                  <c:v>0.47360000000000002</c:v>
                </c:pt>
                <c:pt idx="4">
                  <c:v>0.34699999999999998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19-4FE1-8E3F-7AA4E4A1C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76896"/>
        <c:axId val="611043328"/>
      </c:scatterChart>
      <c:valAx>
        <c:axId val="75617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1043328"/>
        <c:crosses val="autoZero"/>
        <c:crossBetween val="midCat"/>
      </c:valAx>
      <c:valAx>
        <c:axId val="6110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17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oRIENTATION 180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</c:numCache>
            </c:numRef>
          </c:xVal>
          <c:yVal>
            <c:numRef>
              <c:f>Feuil1!$B$3:$B$7</c:f>
              <c:numCache>
                <c:formatCode>General</c:formatCode>
                <c:ptCount val="5"/>
                <c:pt idx="0">
                  <c:v>0.9</c:v>
                </c:pt>
                <c:pt idx="1">
                  <c:v>0.628</c:v>
                </c:pt>
                <c:pt idx="2">
                  <c:v>0.49</c:v>
                </c:pt>
                <c:pt idx="3">
                  <c:v>0.377</c:v>
                </c:pt>
                <c:pt idx="4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D-4AAB-9CBB-95E37AB33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76896"/>
        <c:axId val="611043328"/>
      </c:scatterChart>
      <c:valAx>
        <c:axId val="75617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1043328"/>
        <c:crosses val="autoZero"/>
        <c:crossBetween val="midCat"/>
      </c:valAx>
      <c:valAx>
        <c:axId val="6110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17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315704</xdr:colOff>
      <xdr:row>10</xdr:row>
      <xdr:rowOff>45829</xdr:rowOff>
    </xdr:from>
    <xdr:to>
      <xdr:col>13</xdr:col>
      <xdr:colOff>458579</xdr:colOff>
      <xdr:row>27</xdr:row>
      <xdr:rowOff>141080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A22D2EB-1C42-A8F1-D83D-7DE4D8E97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325783</xdr:colOff>
      <xdr:row>28</xdr:row>
      <xdr:rowOff>3312</xdr:rowOff>
    </xdr:from>
    <xdr:to>
      <xdr:col>12</xdr:col>
      <xdr:colOff>325783</xdr:colOff>
      <xdr:row>43</xdr:row>
      <xdr:rowOff>13250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A7CBBD9-4DBD-33C1-9DF3-641733A5A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480391</xdr:colOff>
      <xdr:row>44</xdr:row>
      <xdr:rowOff>113746</xdr:rowOff>
    </xdr:from>
    <xdr:to>
      <xdr:col>12</xdr:col>
      <xdr:colOff>480391</xdr:colOff>
      <xdr:row>59</xdr:row>
      <xdr:rowOff>123685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4E136-2D76-5AA1-F7A6-69DD00286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55218</xdr:colOff>
      <xdr:row>10</xdr:row>
      <xdr:rowOff>27609</xdr:rowOff>
    </xdr:from>
    <xdr:to>
      <xdr:col>21</xdr:col>
      <xdr:colOff>204304</xdr:colOff>
      <xdr:row>27</xdr:row>
      <xdr:rowOff>129209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27CD981-2EAA-BE7B-4EF0-28D850ADE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381000</xdr:colOff>
      <xdr:row>28</xdr:row>
      <xdr:rowOff>41965</xdr:rowOff>
    </xdr:from>
    <xdr:to>
      <xdr:col>20</xdr:col>
      <xdr:colOff>381000</xdr:colOff>
      <xdr:row>43</xdr:row>
      <xdr:rowOff>51904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8840C40-B0FF-1911-8D10-2A7B6EB75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513522</xdr:colOff>
      <xdr:row>44</xdr:row>
      <xdr:rowOff>135835</xdr:rowOff>
    </xdr:from>
    <xdr:to>
      <xdr:col>20</xdr:col>
      <xdr:colOff>513522</xdr:colOff>
      <xdr:row>59</xdr:row>
      <xdr:rowOff>145774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B1A2FA66-5DB3-3830-64FC-EA99B7E73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369957</xdr:colOff>
      <xdr:row>60</xdr:row>
      <xdr:rowOff>108227</xdr:rowOff>
    </xdr:from>
    <xdr:to>
      <xdr:col>20</xdr:col>
      <xdr:colOff>369957</xdr:colOff>
      <xdr:row>75</xdr:row>
      <xdr:rowOff>118166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11D5085-F1CC-A806-E1E6-018B861A3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436218</xdr:colOff>
      <xdr:row>60</xdr:row>
      <xdr:rowOff>165652</xdr:rowOff>
    </xdr:from>
    <xdr:to>
      <xdr:col>12</xdr:col>
      <xdr:colOff>436218</xdr:colOff>
      <xdr:row>75</xdr:row>
      <xdr:rowOff>175591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DC381A9-09DE-4476-A78A-99F945462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458304</xdr:colOff>
      <xdr:row>76</xdr:row>
      <xdr:rowOff>160131</xdr:rowOff>
    </xdr:from>
    <xdr:to>
      <xdr:col>12</xdr:col>
      <xdr:colOff>458304</xdr:colOff>
      <xdr:row>91</xdr:row>
      <xdr:rowOff>170070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E6E5248B-FD45-4045-AC5C-1EA015727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BC45-3040-43C1-8D0A-D571CFBA598A}">
  <dimension ref="A1:L7"/>
  <sheetViews>
    <sheetView tabSelected="1" zoomScale="115" zoomScaleNormal="115" workbookViewId="0">
      <selection activeCell="M8" sqref="M8"/>
    </sheetView>
  </sheetViews>
  <sheetFormatPr baseColWidth="10" defaultRowHeight="14.5" x14ac:dyDescent="0.35"/>
  <sheetData>
    <row r="1" spans="1:12" x14ac:dyDescent="0.35">
      <c r="A1" s="1"/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</v>
      </c>
      <c r="H1" s="5" t="s">
        <v>7</v>
      </c>
      <c r="I1" s="5" t="s">
        <v>5</v>
      </c>
      <c r="J1" s="6" t="s">
        <v>0</v>
      </c>
    </row>
    <row r="2" spans="1:12" ht="15" thickBot="1" x14ac:dyDescent="0.4">
      <c r="A2" s="1"/>
      <c r="B2" s="7">
        <v>-180</v>
      </c>
      <c r="C2" s="3">
        <v>-135</v>
      </c>
      <c r="D2" s="3">
        <v>-90</v>
      </c>
      <c r="E2" s="3">
        <v>-45</v>
      </c>
      <c r="F2" s="3">
        <v>0</v>
      </c>
      <c r="G2" s="3">
        <v>45</v>
      </c>
      <c r="H2" s="3">
        <v>90</v>
      </c>
      <c r="I2" s="3">
        <v>135</v>
      </c>
      <c r="J2" s="8">
        <v>180</v>
      </c>
    </row>
    <row r="3" spans="1:12" x14ac:dyDescent="0.35">
      <c r="A3" s="14">
        <v>0</v>
      </c>
      <c r="B3" s="9">
        <v>0.9</v>
      </c>
      <c r="C3" s="2">
        <v>0.9</v>
      </c>
      <c r="D3" s="2">
        <v>0.9</v>
      </c>
      <c r="E3" s="2">
        <v>0.9</v>
      </c>
      <c r="F3" s="2">
        <v>0.9</v>
      </c>
      <c r="G3" s="2">
        <v>0.9</v>
      </c>
      <c r="H3" s="2">
        <v>0.9</v>
      </c>
      <c r="I3" s="2">
        <v>0.9</v>
      </c>
      <c r="J3" s="10">
        <v>0.9</v>
      </c>
      <c r="L3" t="s">
        <v>8</v>
      </c>
    </row>
    <row r="4" spans="1:12" x14ac:dyDescent="0.35">
      <c r="A4" s="15">
        <v>30</v>
      </c>
      <c r="B4" s="9">
        <v>0.628</v>
      </c>
      <c r="C4" s="2">
        <v>0.65600000000000003</v>
      </c>
      <c r="D4" s="2">
        <v>0.77800000000000002</v>
      </c>
      <c r="E4" s="2">
        <v>0.92</v>
      </c>
      <c r="F4" s="2">
        <v>1</v>
      </c>
      <c r="G4" s="2">
        <v>0.92</v>
      </c>
      <c r="H4" s="2">
        <v>0.77800000000000002</v>
      </c>
      <c r="I4" s="2">
        <v>0.65600000000000003</v>
      </c>
      <c r="J4" s="10">
        <v>0.628</v>
      </c>
    </row>
    <row r="5" spans="1:12" x14ac:dyDescent="0.35">
      <c r="A5" s="15">
        <v>45</v>
      </c>
      <c r="B5" s="9">
        <v>0.49</v>
      </c>
      <c r="C5" s="2">
        <v>0.54</v>
      </c>
      <c r="D5" s="2">
        <v>0.7</v>
      </c>
      <c r="E5" s="2">
        <v>0.873</v>
      </c>
      <c r="F5" s="2">
        <f xml:space="preserve"> (-0.00009)*A5^2 + 0.0057*A5 + 0.9025</f>
        <v>0.97675000000000001</v>
      </c>
      <c r="G5" s="2">
        <v>0.873</v>
      </c>
      <c r="H5" s="2">
        <v>0.7</v>
      </c>
      <c r="I5" s="2">
        <v>0.54</v>
      </c>
      <c r="J5" s="10">
        <v>0.49</v>
      </c>
    </row>
    <row r="6" spans="1:12" x14ac:dyDescent="0.35">
      <c r="A6" s="15">
        <v>60</v>
      </c>
      <c r="B6" s="9">
        <v>0.377</v>
      </c>
      <c r="C6" s="2">
        <v>0.47360000000000002</v>
      </c>
      <c r="D6" s="2">
        <v>0.64</v>
      </c>
      <c r="E6" s="2">
        <v>0.8</v>
      </c>
      <c r="F6" s="2">
        <v>0.91</v>
      </c>
      <c r="G6" s="2">
        <v>0.8</v>
      </c>
      <c r="H6" s="2">
        <v>0.64</v>
      </c>
      <c r="I6" s="2">
        <v>0.47360000000000002</v>
      </c>
      <c r="J6" s="10">
        <v>0.377</v>
      </c>
    </row>
    <row r="7" spans="1:12" ht="15" thickBot="1" x14ac:dyDescent="0.4">
      <c r="A7" s="16">
        <v>90</v>
      </c>
      <c r="B7" s="11">
        <v>0.27</v>
      </c>
      <c r="C7" s="12">
        <v>0.34699999999999998</v>
      </c>
      <c r="D7" s="12">
        <v>0.51</v>
      </c>
      <c r="E7" s="12">
        <v>0.6</v>
      </c>
      <c r="F7" s="12">
        <v>0.65</v>
      </c>
      <c r="G7" s="12">
        <v>0.6</v>
      </c>
      <c r="H7" s="12">
        <v>0.51</v>
      </c>
      <c r="I7" s="12">
        <v>0.34699999999999998</v>
      </c>
      <c r="J7" s="13">
        <v>0.27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informatique INGTECH</dc:creator>
  <cp:lastModifiedBy>informatique INGTECH</cp:lastModifiedBy>
  <dcterms:created xsi:type="dcterms:W3CDTF">2025-12-08T09:26:41Z</dcterms:created>
  <dcterms:modified xsi:type="dcterms:W3CDTF">2025-12-09T16:34:03Z</dcterms:modified>
</cp:coreProperties>
</file>